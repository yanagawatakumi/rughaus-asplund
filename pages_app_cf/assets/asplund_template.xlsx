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発注書フォーマット" sheetId="1" r:id="rId4"/>
    <sheet state="visible" name="リスト" sheetId="2" r:id="rId5"/>
    <sheet state="visible" name="送料対応表" sheetId="3" r:id="rId6"/>
  </sheets>
  <definedNames/>
  <calcPr/>
  <extLst>
    <ext uri="GoogleSheetsCustomDataVersion2">
      <go:sheetsCustomData xmlns:go="http://customooxmlschemas.google.com/" r:id="rId7" roundtripDataChecksum="ahUCnQ9yLuLK9NMg5DsktQB9V5AMkMngX6f0hdOJQE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======
ID#AAABwD3J4NU
坂口 こよみ    (2026-02-02 05:21:10)
ASPLUND記入</t>
      </text>
    </comment>
    <comment authorId="0" ref="D17">
      <text>
        <t xml:space="preserve">======
ID#AAABwD3J4NQ
坂口 こよみ    (2026-02-02 05:21:10)
都道府県まで記入</t>
      </text>
    </comment>
    <comment authorId="0" ref="C10">
      <text>
        <t xml:space="preserve">======
ID#AAABwD3J4NM
坂口 こよみ    (2026-02-02 05:21:10)
ASPUND記入</t>
      </text>
    </comment>
    <comment authorId="0" ref="C12">
      <text>
        <t xml:space="preserve">======
ID#AAABwD3J4NY
坂口 こよみ    (2026-02-02 05:21:10)
ASPLUND記入</t>
      </text>
    </comment>
  </commentList>
  <extLst>
    <ext uri="GoogleSheetsCustomDataVersion2">
      <go:sheetsCustomData xmlns:go="http://customooxmlschemas.google.com/" r:id="rId1" roundtripDataSignature="AMtx7mjvWZqylF63yhuVDVOcL2LnA63tKA=="/>
    </ext>
  </extLst>
</comments>
</file>

<file path=xl/sharedStrings.xml><?xml version="1.0" encoding="utf-8"?>
<sst xmlns="http://schemas.openxmlformats.org/spreadsheetml/2006/main" count="871" uniqueCount="451">
  <si>
    <t>ORDER SHEET</t>
  </si>
  <si>
    <t>注文日</t>
  </si>
  <si>
    <t>発注先</t>
  </si>
  <si>
    <t>株式会社アスプルンド　　御中</t>
  </si>
  <si>
    <t>下記の通り発注いたしますので、ご手配の程お願い致します。</t>
  </si>
  <si>
    <t>出荷日</t>
  </si>
  <si>
    <t>納品予定日</t>
  </si>
  <si>
    <t>処理番号</t>
  </si>
  <si>
    <t>ご納品先</t>
  </si>
  <si>
    <t>都道府県</t>
  </si>
  <si>
    <t>東京都</t>
  </si>
  <si>
    <t>お届け日目安</t>
  </si>
  <si>
    <t>合計</t>
  </si>
  <si>
    <t>品番</t>
  </si>
  <si>
    <t>商品名</t>
  </si>
  <si>
    <t>カラー</t>
  </si>
  <si>
    <t>数量</t>
  </si>
  <si>
    <t>単価</t>
  </si>
  <si>
    <t>小計</t>
  </si>
  <si>
    <t>293660</t>
  </si>
  <si>
    <t>HOUGAN DESK TOP Charcoal</t>
  </si>
  <si>
    <t>293677</t>
  </si>
  <si>
    <t>HOUGAN DESK END LEG Black(4pcs/1set)</t>
  </si>
  <si>
    <t>送料</t>
  </si>
  <si>
    <t>計</t>
  </si>
  <si>
    <t>消費税等 (10%)</t>
  </si>
  <si>
    <t>御請求額</t>
  </si>
  <si>
    <t>納品先</t>
  </si>
  <si>
    <t>ご住所</t>
  </si>
  <si>
    <t>〒160-0008 東京都新宿区四谷三栄町9-6四谷三栄町スクエア4階</t>
  </si>
  <si>
    <t>お電話番号</t>
  </si>
  <si>
    <t>0362731031</t>
  </si>
  <si>
    <t>受取人様名</t>
  </si>
  <si>
    <t>野坂桃子 KH株式会社</t>
  </si>
  <si>
    <t>お取引条件</t>
  </si>
  <si>
    <t>お支払方法</t>
  </si>
  <si>
    <t>備考</t>
  </si>
  <si>
    <t>従来通り</t>
  </si>
  <si>
    <t>末日締め/翌末日払い</t>
  </si>
  <si>
    <t>弊社注文番号：#9004
2026-04-20 午後着でお願いいたします。</t>
  </si>
  <si>
    <t>画像</t>
  </si>
  <si>
    <t>商品名フリガナ</t>
  </si>
  <si>
    <t>上代(税抜)</t>
  </si>
  <si>
    <t>上代(税込)</t>
  </si>
  <si>
    <t>下代</t>
  </si>
  <si>
    <t>商品サイズ</t>
  </si>
  <si>
    <t>素材詳細</t>
  </si>
  <si>
    <t>生産国</t>
  </si>
  <si>
    <t>N.W.
（㎏）</t>
  </si>
  <si>
    <t>外装　W
(㎜)</t>
  </si>
  <si>
    <t>外装　D
（㎜）</t>
  </si>
  <si>
    <t>外装　H
（㎜）</t>
  </si>
  <si>
    <t>G.W.
（㎏）</t>
  </si>
  <si>
    <t>入数</t>
  </si>
  <si>
    <t>商品
形態</t>
  </si>
  <si>
    <t>PLUME CHAIR body</t>
  </si>
  <si>
    <t>プリュームチェア</t>
  </si>
  <si>
    <t>White</t>
  </si>
  <si>
    <t>W690 D690 H1030～1120 SH460～550</t>
  </si>
  <si>
    <t>フレーム：PA66+GF(ナイロン)
座裏：ポリプロピレン
ファブリック(座：ポリエステル)
キャスター：ナイロンキャスター</t>
  </si>
  <si>
    <t>中国</t>
  </si>
  <si>
    <t>お客様組立品</t>
  </si>
  <si>
    <t>【機能】①座の上下調節、②ロッキングの強弱、③ロッキング固定/解除(1段階)/角度：最大130°、④アームの前後左右調節、⑤アームの上下調節(3段階)</t>
  </si>
  <si>
    <t>PLUME CHAIR option arm</t>
  </si>
  <si>
    <t>※取付時 W680 AH645～735</t>
  </si>
  <si>
    <t>張地：ポリエステル</t>
  </si>
  <si>
    <t>前後40mm、左右50mm、上下70mm幅</t>
  </si>
  <si>
    <t>Black</t>
  </si>
  <si>
    <t>LILIE SWIVEL CHAIR</t>
  </si>
  <si>
    <t>リーリエ　スイベルチェア</t>
  </si>
  <si>
    <t>Grey</t>
  </si>
  <si>
    <t>W720 D730 H810 SH430</t>
  </si>
  <si>
    <t>張地：ポリエステル
ベース：スチール(粉体塗装)</t>
  </si>
  <si>
    <t>回転式</t>
  </si>
  <si>
    <t>MELTONE 1P SOFA</t>
  </si>
  <si>
    <t>メルトーン 1P ソファ</t>
  </si>
  <si>
    <t>W870 D720 H750 SH410</t>
  </si>
  <si>
    <t>MELTONE 2P SOFA</t>
  </si>
  <si>
    <t>メルトーン 2P ソファ</t>
  </si>
  <si>
    <t>W1500 D720 H750 SH410</t>
  </si>
  <si>
    <t>MELTONE 3P SOFA</t>
  </si>
  <si>
    <t>メルトーン 3P ソファ</t>
  </si>
  <si>
    <t>W2160 D720 H750 SH410</t>
  </si>
  <si>
    <t>PENTE 1P SOFA</t>
  </si>
  <si>
    <t>ペンテ 1P ソファ</t>
  </si>
  <si>
    <t>W760 D760 H670 SH425</t>
  </si>
  <si>
    <t>PENTE 2P SOFA</t>
  </si>
  <si>
    <t>ペンテ 2P ソファ</t>
  </si>
  <si>
    <t>W1425 D760 H670 SH425</t>
  </si>
  <si>
    <t>HOAKA CHAIR</t>
  </si>
  <si>
    <t>ホアカ チェア</t>
  </si>
  <si>
    <t>Ivy green</t>
  </si>
  <si>
    <t>W545 D530 H780 SH485 AH690</t>
  </si>
  <si>
    <t>スタッキング4脚可能</t>
  </si>
  <si>
    <t>Sand beige</t>
  </si>
  <si>
    <t>Light grey</t>
  </si>
  <si>
    <t>KANOA CASTER CHAIR</t>
  </si>
  <si>
    <t>カノア キャスターチェア</t>
  </si>
  <si>
    <t>W480 D545 H790 SH470</t>
  </si>
  <si>
    <t>張地：ポリエステル
ベース：スチール(粉体塗装)
キャスター：ポリプロピレンキャスター</t>
  </si>
  <si>
    <t>Dark grey</t>
  </si>
  <si>
    <t>LEHUA CHAIR</t>
  </si>
  <si>
    <t>レフアチェア</t>
  </si>
  <si>
    <t>Ginger</t>
  </si>
  <si>
    <t>W590 D570 H785 SH465 AH650</t>
  </si>
  <si>
    <t>張地：ポリプロピレン
脚部：ビーチ材</t>
  </si>
  <si>
    <t>Brown</t>
  </si>
  <si>
    <t>294971</t>
  </si>
  <si>
    <t>SPIRO CHAIR Black body</t>
  </si>
  <si>
    <t>スピロ チェア ブラック ボディ</t>
  </si>
  <si>
    <t>W690 D690 H990～1070 SH445～525
キャスター間：W690 D690
座：W480 D575</t>
  </si>
  <si>
    <t>背：PA66+GF(強化ナイロン)
座：モールドウレタン、ポリエステル+ポリエラストマー
脚部：PA66+GF(強化ナイロン）
キャスター：ポリウレタンキャスター</t>
  </si>
  <si>
    <t>【機能】
①座の上下調節、前後60mm調節
②ランバーサポート上下50mm調節
③ロッキングの強弱調節
④ロッキング固定/解除(3段階)/角度：最大130°</t>
  </si>
  <si>
    <t>294988</t>
  </si>
  <si>
    <t>SPIRO CHAIR Black option arm</t>
  </si>
  <si>
    <t>スピロ チェア ブラック オプション アーム</t>
  </si>
  <si>
    <t>※取付時アーム幅 W705 AH640～720</t>
  </si>
  <si>
    <t>PA66+GF(強化ナイロン)、ポリウレタン</t>
  </si>
  <si>
    <t>前後40mm、左右50mm、上下70mm幅調節可能</t>
  </si>
  <si>
    <t>294995</t>
  </si>
  <si>
    <t>SPIRO CHAIR Black option headrest</t>
  </si>
  <si>
    <t>スピロ チェア ブラック オプション ヘッドレスト</t>
  </si>
  <si>
    <t>※取付時 H1110～1190</t>
  </si>
  <si>
    <t>PA66+GF(強化ナイロン）、ポリエステル+ポリエラストマー</t>
  </si>
  <si>
    <t>上下100mm幅調節可能</t>
  </si>
  <si>
    <t>295008</t>
  </si>
  <si>
    <t>SPIRO CHAIR White body</t>
  </si>
  <si>
    <t>スピロ チェア ホワイト ボディ</t>
  </si>
  <si>
    <r>
      <rPr>
        <rFont val="MSPゴシック"/>
        <color theme="1"/>
        <sz val="11.0"/>
      </rPr>
      <t>W</t>
    </r>
    <r>
      <rPr>
        <rFont val="MSPゴシック"/>
        <color theme="1"/>
        <sz val="11.0"/>
      </rPr>
      <t>HITE</t>
    </r>
  </si>
  <si>
    <t>295015</t>
  </si>
  <si>
    <t>SPIRO CHAIR White option arm</t>
  </si>
  <si>
    <t>スピロ チェア ホワイト オプション アーム</t>
  </si>
  <si>
    <r>
      <rPr>
        <rFont val="MSPゴシック"/>
        <color theme="1"/>
        <sz val="11.0"/>
      </rPr>
      <t>W</t>
    </r>
    <r>
      <rPr>
        <rFont val="MSPゴシック"/>
        <color theme="1"/>
        <sz val="11.0"/>
      </rPr>
      <t>HITE</t>
    </r>
  </si>
  <si>
    <t>295022</t>
  </si>
  <si>
    <t>SPIRO CHAIR White option headrest</t>
  </si>
  <si>
    <t>スピロ チェア ホワイト オプション ヘッドレスト</t>
  </si>
  <si>
    <r>
      <rPr>
        <rFont val="MSPゴシック"/>
        <color theme="1"/>
        <sz val="11.0"/>
      </rPr>
      <t>W</t>
    </r>
    <r>
      <rPr>
        <rFont val="MSPゴシック"/>
        <color theme="1"/>
        <sz val="11.0"/>
      </rPr>
      <t>HITE</t>
    </r>
  </si>
  <si>
    <t>287072</t>
  </si>
  <si>
    <t>VIVY CHAIR White body</t>
  </si>
  <si>
    <t>ヴィヴィー チェア ホワイト ボディ</t>
  </si>
  <si>
    <t>W690 D690 H985～1055 SH435～505
キャスター間：W690 D690
座：W480 D580</t>
  </si>
  <si>
    <t>【機能】
①座の上下調節、前後40mm調節
②ランバーサポート上下50mm調節
③ロッキングの強弱調節
④ロッキング固定/解除(4段階)/角度：最大130°</t>
  </si>
  <si>
    <t>287096</t>
  </si>
  <si>
    <t>VIVY CHAIR White option arm</t>
  </si>
  <si>
    <t>ヴィヴィー チェア ホワイト オプション アーム</t>
  </si>
  <si>
    <t>取付時アーム幅 W710 AH645～715</t>
  </si>
  <si>
    <t>287089</t>
  </si>
  <si>
    <t>VIVY CHAIR White option headrest</t>
  </si>
  <si>
    <t>ヴィヴィー チェア ホワイト オプション ヘッドレスト</t>
  </si>
  <si>
    <t>取付時 H1100～1170</t>
  </si>
  <si>
    <t>VIVY CHAIR Black body</t>
  </si>
  <si>
    <t>ヴィヴィー チェア ブラック ボディ</t>
  </si>
  <si>
    <t>VIVY CHAIR Black option arm</t>
  </si>
  <si>
    <t>ヴィヴィー チェア ブラック オプション アーム</t>
  </si>
  <si>
    <t>VIVY CHAIR Black option headrest</t>
  </si>
  <si>
    <t>ヴィヴィー チェア ブラック オプション ヘッドレスト</t>
  </si>
  <si>
    <t>294926</t>
  </si>
  <si>
    <t>ARISTA CASTER CHAIR Ivory</t>
  </si>
  <si>
    <t>アリスタ キャスター チェア アイボリー</t>
  </si>
  <si>
    <t>W620 D620 H770～860 SH420～510 AH645～735
キャスター間：W620 D620
座　アーム幅：W565 D550
座　シート幅：W475 D430</t>
  </si>
  <si>
    <t>【機能】
①座の上下調節
②背座一体ロッキング（背チルト）/最大角度115°</t>
  </si>
  <si>
    <t>ARISTA CASTER CHAIR Sesame grey</t>
  </si>
  <si>
    <t>アリスタ キャスター チェア セサミグレー</t>
  </si>
  <si>
    <t>294933</t>
  </si>
  <si>
    <t>ARISTA CASTER CHAIR Chill red</t>
  </si>
  <si>
    <t>アリスタ キャスター チェア チリレッド</t>
  </si>
  <si>
    <t>294957</t>
  </si>
  <si>
    <t>ARISTA MEETING CHAIR Ivory</t>
  </si>
  <si>
    <t>アリスタ ミーティング チェア アイボリー</t>
  </si>
  <si>
    <t>W565 D545 H800 SH450 AH650</t>
  </si>
  <si>
    <t>平行スタッキング可能</t>
  </si>
  <si>
    <t>294940</t>
  </si>
  <si>
    <t>ARISTA MEETING CHAIR Sesame grey</t>
  </si>
  <si>
    <t>アリスタ ミーティング チェア セサミグレー</t>
  </si>
  <si>
    <t>294964</t>
  </si>
  <si>
    <t>ARISTA MEETING CHAIR Basil Green</t>
  </si>
  <si>
    <t>アリスタ ミーティング チェア バジルグリーン</t>
  </si>
  <si>
    <t>295039</t>
  </si>
  <si>
    <t>NEW OCUS CHAIR Black</t>
  </si>
  <si>
    <t>ニュー オーカス チェア ブラック</t>
  </si>
  <si>
    <t>W680 D680 H800～860 SH440～500
キャスター間：W680 D680
座：W470 D552</t>
  </si>
  <si>
    <t>【機能】
①座の上下調節
②背座一体ロッキング（背チルト）/最大角度130°</t>
  </si>
  <si>
    <t>295046</t>
  </si>
  <si>
    <t>NEW OCUS CHAIR White</t>
  </si>
  <si>
    <t>ニュー オーカス チェア ホワイト</t>
  </si>
  <si>
    <t>NOG CASTER CHAIR Amber</t>
  </si>
  <si>
    <t>ノグ キャスター チェア アンバー</t>
  </si>
  <si>
    <t>W650 D650 H800～865 SH450～515 AH730～795
キャスター間：W650 D650
座　アーム幅：W600 D585
座　シート幅：W485 D440</t>
  </si>
  <si>
    <t>背、座：モールドウレタン+PU
脚部：アルミニウム
キャスター：ポリウレタンキャスター</t>
  </si>
  <si>
    <t>【機能】
①座の上下調節
②背座一体ロッキング（背チルト）/最大角度120°</t>
  </si>
  <si>
    <t>NOG CASTER CHAIR Night Grey</t>
  </si>
  <si>
    <t>ノグ キャスター チェア ナイトグレー</t>
  </si>
  <si>
    <t>294841</t>
  </si>
  <si>
    <t>NOG CASTER CHAIR Ivory</t>
  </si>
  <si>
    <t>ノグ キャスター チェア アイボリー</t>
  </si>
  <si>
    <t>背、座：モールドウレタン+ポリエステル
脚部：アルミニウム
キャスター：ポリウレタンキャスター</t>
  </si>
  <si>
    <t>294834</t>
  </si>
  <si>
    <t>NOG CASTER CHAIR Sesame grey</t>
  </si>
  <si>
    <t>ノグ キャスター チェア セサミグレー</t>
  </si>
  <si>
    <t>287102</t>
  </si>
  <si>
    <t>ROTOM CHAIR Amber</t>
  </si>
  <si>
    <t>ロトムチェア アンバー</t>
  </si>
  <si>
    <t>W490 D520 H780 SH465</t>
  </si>
  <si>
    <t>背、座：モールドウレタン+PU
脚部：スチール</t>
  </si>
  <si>
    <r>
      <rPr>
        <rFont val="MSPゴシック"/>
        <color theme="1"/>
        <sz val="11.0"/>
      </rPr>
      <t>F</t>
    </r>
    <r>
      <rPr>
        <rFont val="MSPゴシック"/>
        <color theme="1"/>
        <sz val="11.0"/>
      </rPr>
      <t>IX</t>
    </r>
  </si>
  <si>
    <t>287119</t>
  </si>
  <si>
    <t>ROTOM CHAIR Night grey</t>
  </si>
  <si>
    <t>ロトムチェア ナイトグレー</t>
  </si>
  <si>
    <r>
      <rPr>
        <rFont val="MSPゴシック"/>
        <color theme="1"/>
        <sz val="11.0"/>
      </rPr>
      <t>F</t>
    </r>
    <r>
      <rPr>
        <rFont val="MSPゴシック"/>
        <color theme="1"/>
        <sz val="11.0"/>
      </rPr>
      <t>IX</t>
    </r>
  </si>
  <si>
    <t>294803</t>
  </si>
  <si>
    <t>ROTOM CHAIR Ivory</t>
  </si>
  <si>
    <t>ロトムチェア アイボリー</t>
  </si>
  <si>
    <r>
      <rPr>
        <rFont val="MSPゴシック"/>
        <color theme="1"/>
        <sz val="11.0"/>
      </rPr>
      <t>F</t>
    </r>
    <r>
      <rPr>
        <rFont val="MSPゴシック"/>
        <color theme="1"/>
        <sz val="11.0"/>
      </rPr>
      <t>IX</t>
    </r>
  </si>
  <si>
    <t>294797</t>
  </si>
  <si>
    <t>ROTOM CHAIR Sesame grey</t>
  </si>
  <si>
    <t>ロトムチェア セサミグレー</t>
  </si>
  <si>
    <r>
      <rPr>
        <rFont val="MSPゴシック"/>
        <color theme="1"/>
        <sz val="11.0"/>
      </rPr>
      <t>F</t>
    </r>
    <r>
      <rPr>
        <rFont val="MSPゴシック"/>
        <color theme="1"/>
        <sz val="11.0"/>
      </rPr>
      <t>IX</t>
    </r>
  </si>
  <si>
    <t>294667</t>
  </si>
  <si>
    <t>DIMPLE CHAIR Cinnamon</t>
  </si>
  <si>
    <t>ディンプル チェア シナモン</t>
  </si>
  <si>
    <t>W540 D560 H790 SH470 AH660</t>
  </si>
  <si>
    <t>ファブリック、スチール</t>
  </si>
  <si>
    <t>FIX</t>
  </si>
  <si>
    <t>294674</t>
  </si>
  <si>
    <t>DIMPLE CHAIR Pepper grey</t>
  </si>
  <si>
    <t>ディンプル チェア ペッパーグレー</t>
  </si>
  <si>
    <t>294735</t>
  </si>
  <si>
    <t>FLONE SIDE CHAIR Mustard</t>
  </si>
  <si>
    <t>フローネ サイド チェア マスタード</t>
  </si>
  <si>
    <t>W470 D560 H820 SH480</t>
  </si>
  <si>
    <t>294728</t>
  </si>
  <si>
    <t>FLONE SIDE CHAIR Smoky grey</t>
  </si>
  <si>
    <t>フローネ サイド チェア スモーキーグレー</t>
  </si>
  <si>
    <t>294643</t>
  </si>
  <si>
    <t>MOKUIS SIDE CHAIR</t>
  </si>
  <si>
    <t>モクイス サイド チェア</t>
  </si>
  <si>
    <t>W485 D505 H760 SH450</t>
  </si>
  <si>
    <t>合板、スチール</t>
  </si>
  <si>
    <t>294650</t>
  </si>
  <si>
    <t>MOKUIS COUNTER CHAIR</t>
  </si>
  <si>
    <t>モクイス カウンター チェア</t>
  </si>
  <si>
    <t>W530 D530 H1060 SH760</t>
  </si>
  <si>
    <t>293639</t>
  </si>
  <si>
    <t>JIGGLY STOOL Grey×Light grey</t>
  </si>
  <si>
    <t>ジグリー スツール グレー×ライトグレー</t>
  </si>
  <si>
    <t>W332 D332 H546～790</t>
  </si>
  <si>
    <t>布: 100% polyester
クッション材:ウレタンフォーム
脚部ベース:PA+GF / PP / TPR
ガスシリンダーセット: スチール / POM
ガスシリンダー外筒カバー: PP</t>
  </si>
  <si>
    <t>台湾</t>
  </si>
  <si>
    <t>293646</t>
  </si>
  <si>
    <t>JIGGLY STOOL Grey×Brown</t>
  </si>
  <si>
    <t>ジグリー スツール グレー×ブラウン</t>
  </si>
  <si>
    <t>293615</t>
  </si>
  <si>
    <t>JIGGLY STOOL Black×Graphite grey</t>
  </si>
  <si>
    <t>ジグリー スツール ブラック×グラファイトグレー</t>
  </si>
  <si>
    <t>293622</t>
  </si>
  <si>
    <t>JIGGLY STOOL Black×Brown</t>
  </si>
  <si>
    <t>ジグリー スツール ブラック×ブラウン</t>
  </si>
  <si>
    <t>501505</t>
  </si>
  <si>
    <t>LILO LOUNGE CHAIR</t>
  </si>
  <si>
    <t>リロ ラウンジ チェア</t>
  </si>
  <si>
    <t>W1000 D830 H1140 SH430</t>
  </si>
  <si>
    <t>ファブリック</t>
  </si>
  <si>
    <t>294759</t>
  </si>
  <si>
    <t>FLONE LOUNGE CHAIR Mustard</t>
  </si>
  <si>
    <t>フローネ ラウンジ チェア マスタード</t>
  </si>
  <si>
    <t>W720 D725 H690 SH400</t>
  </si>
  <si>
    <t>294742</t>
  </si>
  <si>
    <t>FLONE LOUNGE CHAIR Smoky grey</t>
  </si>
  <si>
    <t>フローネ ラウンジ チェア スモーキーグレー</t>
  </si>
  <si>
    <r>
      <rPr>
        <rFont val="MSPゴシック"/>
        <color theme="1"/>
        <sz val="11.0"/>
      </rPr>
      <t>c</t>
    </r>
    <r>
      <rPr>
        <rFont val="MSPゴシック"/>
        <color theme="1"/>
        <sz val="11.0"/>
      </rPr>
      <t>onpas desk (natural)</t>
    </r>
  </si>
  <si>
    <t>コンパス デスク ナチュラル</t>
  </si>
  <si>
    <t>W1200 D600 H720</t>
  </si>
  <si>
    <t>メラミン、スチール</t>
  </si>
  <si>
    <t>conpas desk (charcoal)</t>
  </si>
  <si>
    <t>コンパス デスク チャコール</t>
  </si>
  <si>
    <t>conpas desk (beige)</t>
  </si>
  <si>
    <t>コンパス デスク ベージュ</t>
  </si>
  <si>
    <t>ニュー ホウガン デスク トップ チャコール</t>
  </si>
  <si>
    <t>W1200 D600 t25</t>
  </si>
  <si>
    <t>天板：パーティクルボード　メラミン化粧板
配線トレー：スチール 粉体塗装</t>
  </si>
  <si>
    <t>ニュー ホウガン デスク エンド レッグ スチール</t>
  </si>
  <si>
    <t>W380 D180 H695</t>
  </si>
  <si>
    <t>脚部：スチール 粉体塗装
配線カバー：スチール 粉体塗装</t>
  </si>
  <si>
    <t>4pcs/1set</t>
  </si>
  <si>
    <t>293684</t>
  </si>
  <si>
    <t>HOUGAN DESK CENTER LEG Black(2pcs/1set)</t>
  </si>
  <si>
    <t>ニュー ホウガン デスク センター レッグ スチール</t>
  </si>
  <si>
    <t>2pcs/1set</t>
  </si>
  <si>
    <t>293653</t>
  </si>
  <si>
    <t>HOUGAN DESK TOP Natural</t>
  </si>
  <si>
    <t>ニュー ホウガン デスク トップ ナチュラル</t>
  </si>
  <si>
    <t>293691</t>
  </si>
  <si>
    <t>HOUGAN DESK END LEG Wood(4pcs/1set)</t>
  </si>
  <si>
    <t>ニュー ホウガン デスク エンド レッグ ウッド</t>
  </si>
  <si>
    <t xml:space="preserve">脚部：OAK　NC塗装  スチール 粉体塗装  </t>
  </si>
  <si>
    <t>293707</t>
  </si>
  <si>
    <t>HOUGAN DESK CENTER LEG Wood(2pcs/1set)</t>
  </si>
  <si>
    <t>ニュー ホウガン デスク センター レッグ ウッド</t>
  </si>
  <si>
    <t>(SET2)BASED-WIZ PERSONAL BOOTH Graphite</t>
  </si>
  <si>
    <t>ベースドウィズ パーソナルブース グラファイト</t>
  </si>
  <si>
    <t>W1085 D870 H1415 SH440 TH730</t>
  </si>
  <si>
    <t>ファブリック、スチール、メラミン</t>
  </si>
  <si>
    <t>(SET2)BASED-WIZ PERSONAL BOOTH Cream</t>
  </si>
  <si>
    <t>ベースドウィズ パーソナルブース クリーム</t>
  </si>
  <si>
    <t>BASED-WIZ PERSONAL DESK Graphite</t>
  </si>
  <si>
    <t>ベースドウィズ パーソナルデスク グラファイト</t>
  </si>
  <si>
    <t>W1020 D720 H1415 TH730</t>
  </si>
  <si>
    <t>294230</t>
  </si>
  <si>
    <t>BASED-WIZ PERSONAL DESK Cream</t>
  </si>
  <si>
    <t>ベースドウィズ パーソナルデスク クリーム</t>
  </si>
  <si>
    <t>JUNGLE-GYM LOW CABINET</t>
  </si>
  <si>
    <t>ジャングルジムシェルフ ロー キャビネット</t>
  </si>
  <si>
    <t>W800 D400 H1220</t>
  </si>
  <si>
    <t>メラミン、ウッド</t>
  </si>
  <si>
    <t>JUNGLE-GYM HIGH CABINET</t>
  </si>
  <si>
    <t>ジャングルジムシェルフ ハイ キャビネット</t>
  </si>
  <si>
    <t>W800 D400 H2020</t>
  </si>
  <si>
    <r>
      <rPr>
        <rFont val="MSPゴシック"/>
        <color theme="1"/>
        <sz val="11.0"/>
      </rPr>
      <t>J</t>
    </r>
    <r>
      <rPr>
        <rFont val="MSPゴシック"/>
        <color theme="1"/>
        <sz val="11.0"/>
      </rPr>
      <t>UNGLE-GYM SHELF SET 5X3</t>
    </r>
  </si>
  <si>
    <t>ジャングルジムシェルフ　セット 5X3</t>
  </si>
  <si>
    <r>
      <rPr>
        <rFont val="MSPゴシック"/>
        <color theme="1"/>
        <sz val="11.0"/>
      </rPr>
      <t>W</t>
    </r>
    <r>
      <rPr>
        <rFont val="MSPゴシック"/>
        <color theme="1"/>
        <sz val="11.0"/>
      </rPr>
      <t>1200 D400 H2025</t>
    </r>
  </si>
  <si>
    <t>スチール、メラミン</t>
  </si>
  <si>
    <t>275192 ジャングルジムシェルフ　5ティア　X 1PCS
275208 ジャングルジムシェルフ　5アドオンX 2PCS
293769 ジャングルジムシェルフボード X 18PCS(9セット)</t>
  </si>
  <si>
    <t>ジャングルジムシェルフ5ティア</t>
  </si>
  <si>
    <t>x1</t>
  </si>
  <si>
    <t>ジャングルジムシェルフ5アドオン</t>
  </si>
  <si>
    <t>x2</t>
  </si>
  <si>
    <t>ジャングルジムシェルフシェルフボード(2pcs/1セット)</t>
  </si>
  <si>
    <t>x9セット</t>
  </si>
  <si>
    <t>JUNGLE-GYM SHELF SET 3X3</t>
  </si>
  <si>
    <t>ジャングルジムシェルフ　セット 3X3</t>
  </si>
  <si>
    <r>
      <rPr>
        <rFont val="MSPゴシック"/>
        <color theme="1"/>
        <sz val="11.0"/>
      </rPr>
      <t>W</t>
    </r>
    <r>
      <rPr>
        <rFont val="MSPゴシック"/>
        <color theme="1"/>
        <sz val="11.0"/>
      </rPr>
      <t>1200 D 400 H1235</t>
    </r>
  </si>
  <si>
    <t>275215 ジャングルジムシェルフ　3ティア　X 1PCS
275222 ジャングルジムシェルフ　3アドオンX 2PCS
293769 ジャングルジムシェルフボード X 12PCS(6セット)</t>
  </si>
  <si>
    <t>ジャングルジムシェルフ3ティア</t>
  </si>
  <si>
    <t>ジャングルジムシェルフ3アドオン</t>
  </si>
  <si>
    <t>x6セット</t>
  </si>
  <si>
    <r>
      <rPr>
        <rFont val="MSPゴシック"/>
        <color theme="1"/>
        <sz val="11.0"/>
      </rPr>
      <t>R</t>
    </r>
    <r>
      <rPr>
        <rFont val="MSPゴシック"/>
        <color theme="1"/>
        <sz val="11.0"/>
      </rPr>
      <t>ANGO WHITE BOARD</t>
    </r>
  </si>
  <si>
    <t>ランゴ ホワイト ボード</t>
  </si>
  <si>
    <t>W900 D500 H1800</t>
  </si>
  <si>
    <t>フレーム：アルミ 粉体塗装
脚部：アルミダイキャスト 粉体塗装
ペントレー：スチール 粉体塗装
ホワイトボード：鋼板、ハニカムボード</t>
  </si>
  <si>
    <r>
      <rPr>
        <rFont val="MSPゴシック"/>
        <color theme="1"/>
        <sz val="11.0"/>
      </rPr>
      <t>R</t>
    </r>
    <r>
      <rPr>
        <rFont val="MSPゴシック"/>
        <color theme="1"/>
        <sz val="11.0"/>
      </rPr>
      <t>ANGO STEEL SHELF</t>
    </r>
  </si>
  <si>
    <t>ランゴ スチール シェルフ</t>
  </si>
  <si>
    <t>フレーム：アルミ 粉体塗装
脚部：アルミダイキャスト 粉体塗装
シェルフ：スチール 粉体塗装</t>
  </si>
  <si>
    <r>
      <rPr>
        <rFont val="MSPゴシック"/>
        <color theme="1"/>
        <sz val="11.0"/>
      </rPr>
      <t>R</t>
    </r>
    <r>
      <rPr>
        <rFont val="MSPゴシック"/>
        <color theme="1"/>
        <sz val="11.0"/>
      </rPr>
      <t>ANGO TV STAND</t>
    </r>
  </si>
  <si>
    <t>ランゴ TV スタンド</t>
  </si>
  <si>
    <t>W1200 D500 H1800</t>
  </si>
  <si>
    <t>フレーム：アルミ 粉体塗装
脚部：アルミダイキャスト 粉体塗装
ディスプレイ取付部：スチール 粉体塗装
棚板：スチール 粉体塗装</t>
  </si>
  <si>
    <t>284101</t>
  </si>
  <si>
    <t>(SET4)FLEX WIZ CABINET W1200 5 TIER</t>
  </si>
  <si>
    <t>フレックスウィズキャビネット5ティア</t>
  </si>
  <si>
    <t>W1200 D400 H1940</t>
  </si>
  <si>
    <t>スチール、オークウッド 4個口</t>
  </si>
  <si>
    <t>可動棚・配線孔・アジャスター付き</t>
  </si>
  <si>
    <t>(SET2)FLEX WIZ CABINET W1200 3 TIER</t>
  </si>
  <si>
    <t>フレックスウィズキャビネット3ティア</t>
  </si>
  <si>
    <t>W1200 D400 H1180</t>
  </si>
  <si>
    <t>スチール、オークウッド 2個口</t>
  </si>
  <si>
    <t>NOMUSS TRUSH BOX Charcoal</t>
  </si>
  <si>
    <t>W1000 D500 H1000</t>
  </si>
  <si>
    <t>推奨ゴミ箱サイズ：45L
内ゴミ箱は付属しておりません</t>
  </si>
  <si>
    <t>293820_OPTION</t>
  </si>
  <si>
    <t>オプション</t>
  </si>
  <si>
    <t>ゴミ箱45Lサイズ 3個　別売り  1pcs  @4300 x 3</t>
  </si>
  <si>
    <t>NOMUSS TRUSH BOX Beige</t>
  </si>
  <si>
    <t>NOMUSS CABINET Charcoal</t>
  </si>
  <si>
    <t>ノーマス キャビネット チャコール</t>
  </si>
  <si>
    <t>メラミン</t>
  </si>
  <si>
    <t>可動棚・配線孔付き</t>
  </si>
  <si>
    <t>NOMUSS CABINET Beige</t>
  </si>
  <si>
    <t>ノーマス キャビネット ベージュ</t>
  </si>
  <si>
    <t>FLEX-WIZ STORAGE OPEN 1180 SET BODY: White LEG: Steel Black</t>
  </si>
  <si>
    <t>フレックスウィズオープン1180セット　本体：ホワイト　脚：スチール ブラック</t>
  </si>
  <si>
    <r>
      <rPr>
        <rFont val="MSPゴシック"/>
        <color theme="1"/>
        <sz val="11.0"/>
      </rPr>
      <t>W</t>
    </r>
    <r>
      <rPr>
        <rFont val="MSPゴシック"/>
        <color theme="1"/>
        <sz val="11.0"/>
      </rPr>
      <t>1177 D400 H1250</t>
    </r>
  </si>
  <si>
    <t>スチール</t>
  </si>
  <si>
    <t>可動棚付き</t>
  </si>
  <si>
    <t>本体</t>
  </si>
  <si>
    <t>脚</t>
  </si>
  <si>
    <t>FLEX-WIZ STORAGEOPEN 1180 SET BODY: Olive LEG: Steel Black</t>
  </si>
  <si>
    <t>フレックスウィズオープン1180セット　本体：オリーブ　脚：スチール ブラック</t>
  </si>
  <si>
    <r>
      <rPr>
        <rFont val="MSPゴシック"/>
        <color theme="1"/>
        <sz val="11.0"/>
      </rPr>
      <t>W</t>
    </r>
    <r>
      <rPr>
        <rFont val="MSPゴシック"/>
        <color theme="1"/>
        <sz val="11.0"/>
      </rPr>
      <t>1177 D400 H1250</t>
    </r>
  </si>
  <si>
    <t>FLEX-WIZ STORAGEOPEN 1180 SET BODY: Greige LEG: Steel Black</t>
  </si>
  <si>
    <t>フレックスウィズオープン1180セット　本体：グレージュ　脚：スチール ブラック</t>
  </si>
  <si>
    <r>
      <rPr>
        <rFont val="MSPゴシック"/>
        <color theme="1"/>
        <sz val="11.0"/>
      </rPr>
      <t>W</t>
    </r>
    <r>
      <rPr>
        <rFont val="MSPゴシック"/>
        <color theme="1"/>
        <sz val="11.0"/>
      </rPr>
      <t>1177 D400 H1250</t>
    </r>
  </si>
  <si>
    <t>FLEX-WIZ STORAGE 6 DOOR SET BODY: White LEG:Oak wood</t>
  </si>
  <si>
    <t>フレックスウィズ 6 DOOR セット　本体：ホワイト　脚：オークウッド</t>
  </si>
  <si>
    <r>
      <rPr>
        <rFont val="MSPゴシック"/>
        <color theme="1"/>
        <sz val="11.0"/>
      </rPr>
      <t>W</t>
    </r>
    <r>
      <rPr>
        <rFont val="MSPゴシック"/>
        <color theme="1"/>
        <sz val="11.0"/>
      </rPr>
      <t>1177 D400 H1250</t>
    </r>
  </si>
  <si>
    <t>Body: スチール Leg: oak wood</t>
  </si>
  <si>
    <t>ダイヤル錠付き</t>
  </si>
  <si>
    <t>FLEX-WIZ STORAGE 6 DOOR SET BODY: Olive LEG:Oak wood</t>
  </si>
  <si>
    <t>フレックスウィズ 6 DOOR セット　本体：オリーブ　脚：オークウッド</t>
  </si>
  <si>
    <r>
      <rPr>
        <rFont val="MSPゴシック"/>
        <color theme="1"/>
        <sz val="11.0"/>
      </rPr>
      <t>W</t>
    </r>
    <r>
      <rPr>
        <rFont val="MSPゴシック"/>
        <color theme="1"/>
        <sz val="11.0"/>
      </rPr>
      <t>1177 D400 H1250</t>
    </r>
  </si>
  <si>
    <t>FLEX-WIZ STORAGE 6 DOOR SET BODY: Greige LEG:Oak wood</t>
  </si>
  <si>
    <t>フレックスウィズ 6 DOOR セット　本体：グレージュ　脚：オークウッド</t>
  </si>
  <si>
    <r>
      <rPr>
        <rFont val="MSPゴシック"/>
        <color theme="1"/>
        <sz val="11.0"/>
      </rPr>
      <t>W</t>
    </r>
    <r>
      <rPr>
        <rFont val="MSPゴシック"/>
        <color theme="1"/>
        <sz val="11.0"/>
      </rPr>
      <t>1177 D400 H1250</t>
    </r>
  </si>
  <si>
    <t>FLEX-WIZ STORAGE 4 DOOR SET BODY: White LEG:Steel White</t>
  </si>
  <si>
    <t>フレックスウィズ 4 DOOR セット　本体：ホワイト　脚：スチール ホワイト</t>
  </si>
  <si>
    <t>W800 D400 H250</t>
  </si>
  <si>
    <t>FLEX-WIZ STORAGE 4 DOOR SET BODY: Olive LEG:Steel White</t>
  </si>
  <si>
    <t>フレックスウィズ 4 DOOR セット　本体：オリーブ　脚：スチール ホワイト</t>
  </si>
  <si>
    <t>FLEX-WIZ STORAGE 4 DOOR SET BODY: Greige LEG:Steel White</t>
  </si>
  <si>
    <t>フレックスウィズ 4 DOOR セット　本体：グレージュ　脚：スチール ホワイト</t>
  </si>
  <si>
    <t>お届け日数</t>
  </si>
  <si>
    <t>北海道</t>
  </si>
  <si>
    <t>別途見積もり</t>
  </si>
  <si>
    <t>要相談</t>
  </si>
  <si>
    <t>青森県</t>
  </si>
  <si>
    <t>2日～3日</t>
  </si>
  <si>
    <t>岩手県</t>
  </si>
  <si>
    <t>1日～2日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</si>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</sst>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/d"/>
    <numFmt numFmtId="165" formatCode="&quot;¥&quot;#,##0;[Red]&quot;¥&quot;\-#,##0"/>
    <numFmt numFmtId="166" formatCode="0_);[Red]\(0\)"/>
    <numFmt numFmtId="167" formatCode="0.0"/>
  </numFmts>
  <fonts count="16">
    <font>
      <sz val="11.0"/>
      <color theme="1"/>
      <name val="Calibri"/>
      <scheme val="minor"/>
    </font>
    <font>
      <b/>
      <sz val="28.0"/>
      <color theme="1"/>
      <name val="MS PGothic"/>
    </font>
    <font/>
    <font>
      <sz val="11.0"/>
      <color theme="1"/>
      <name val="MS PGothic"/>
    </font>
    <font>
      <sz val="11.0"/>
      <color theme="0"/>
      <name val="MS PGothic"/>
    </font>
    <font>
      <sz val="12.0"/>
      <color theme="1"/>
      <name val="MS PGothic"/>
    </font>
    <font>
      <sz val="10.0"/>
      <color theme="1"/>
      <name val="MS PGothic"/>
    </font>
    <font>
      <sz val="14.0"/>
      <color theme="1"/>
      <name val="MS PGothic"/>
    </font>
    <font>
      <sz val="20.0"/>
      <color theme="1"/>
      <name val="MS PGothic"/>
    </font>
    <font>
      <sz val="16.0"/>
      <color theme="1"/>
      <name val="MS PGothic"/>
    </font>
    <font>
      <sz val="18.0"/>
      <color theme="1"/>
      <name val="MS PGothic"/>
    </font>
    <font>
      <b/>
      <sz val="14.0"/>
      <color theme="1"/>
      <name val="MS PGothic"/>
    </font>
    <font>
      <b/>
      <sz val="22.0"/>
      <color theme="1"/>
      <name val="MS PGothic"/>
    </font>
    <font>
      <sz val="9.0"/>
      <color theme="1"/>
      <name val="MS PGothic"/>
    </font>
    <font>
      <sz val="11.0"/>
      <color theme="1"/>
      <name val="MSPゴシック"/>
    </font>
    <font>
      <b/>
      <sz val="11.0"/>
      <color theme="1"/>
      <name val="MSPゴシック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FDE9D9"/>
        <bgColor rgb="FFFDE9D9"/>
      </patternFill>
    </fill>
  </fills>
  <borders count="4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/>
      <bottom/>
    </border>
    <border>
      <top/>
      <bottom/>
    </border>
    <border>
      <left/>
      <top/>
    </border>
    <border>
      <top/>
    </border>
    <border>
      <left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4" fillId="3" fontId="1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vertical="center"/>
    </xf>
    <xf borderId="5" fillId="3" fontId="5" numFmtId="0" xfId="0" applyAlignment="1" applyBorder="1" applyFont="1">
      <alignment horizontal="center" vertical="center"/>
    </xf>
    <xf borderId="6" fillId="3" fontId="6" numFmtId="164" xfId="0" applyAlignment="1" applyBorder="1" applyFont="1" applyNumberFormat="1">
      <alignment horizontal="center" readingOrder="0" vertical="center"/>
    </xf>
    <xf borderId="7" fillId="0" fontId="2" numFmtId="0" xfId="0" applyAlignment="1" applyBorder="1" applyFont="1">
      <alignment vertical="center"/>
    </xf>
    <xf borderId="8" fillId="3" fontId="7" numFmtId="0" xfId="0" applyAlignment="1" applyBorder="1" applyFont="1">
      <alignment horizontal="left" vertical="center"/>
    </xf>
    <xf borderId="9" fillId="0" fontId="2" numFmtId="0" xfId="0" applyAlignment="1" applyBorder="1" applyFont="1">
      <alignment vertical="center"/>
    </xf>
    <xf borderId="4" fillId="3" fontId="5" numFmtId="0" xfId="0" applyAlignment="1" applyBorder="1" applyFont="1">
      <alignment horizontal="center" vertical="center"/>
    </xf>
    <xf borderId="10" fillId="3" fontId="8" numFmtId="0" xfId="0" applyAlignment="1" applyBorder="1" applyFont="1">
      <alignment horizontal="left" vertical="center"/>
    </xf>
    <xf borderId="11" fillId="0" fontId="2" numFmtId="0" xfId="0" applyAlignment="1" applyBorder="1" applyFont="1">
      <alignment vertical="center"/>
    </xf>
    <xf borderId="4" fillId="3" fontId="3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3" fontId="5" numFmtId="0" xfId="0" applyAlignment="1" applyBorder="1" applyFont="1">
      <alignment horizontal="center" vertical="center"/>
    </xf>
    <xf borderId="14" fillId="0" fontId="2" numFmtId="0" xfId="0" applyAlignment="1" applyBorder="1" applyFont="1">
      <alignment vertical="center"/>
    </xf>
    <xf borderId="13" fillId="3" fontId="9" numFmtId="0" xfId="0" applyAlignment="1" applyBorder="1" applyFont="1">
      <alignment horizontal="center"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9" fillId="3" fontId="7" numFmtId="0" xfId="0" applyAlignment="1" applyBorder="1" applyFont="1">
      <alignment horizontal="center" vertical="center"/>
    </xf>
    <xf borderId="20" fillId="0" fontId="2" numFmtId="0" xfId="0" applyAlignment="1" applyBorder="1" applyFont="1">
      <alignment vertical="center"/>
    </xf>
    <xf borderId="21" fillId="3" fontId="5" numFmtId="0" xfId="0" applyAlignment="1" applyBorder="1" applyFont="1">
      <alignment horizontal="center" vertical="center"/>
    </xf>
    <xf borderId="19" fillId="3" fontId="10" numFmtId="0" xfId="0" applyAlignment="1" applyBorder="1" applyFont="1">
      <alignment horizontal="center" readingOrder="0" vertical="center"/>
    </xf>
    <xf borderId="22" fillId="0" fontId="2" numFmtId="0" xfId="0" applyAlignment="1" applyBorder="1" applyFont="1">
      <alignment vertical="center"/>
    </xf>
    <xf borderId="19" fillId="3" fontId="10" numFmtId="0" xfId="0" applyAlignment="1" applyBorder="1" applyFont="1">
      <alignment horizontal="center" vertical="center"/>
    </xf>
    <xf borderId="6" fillId="3" fontId="11" numFmtId="0" xfId="0" applyAlignment="1" applyBorder="1" applyFont="1">
      <alignment horizontal="right" vertical="center"/>
    </xf>
    <xf borderId="6" fillId="3" fontId="12" numFmtId="165" xfId="0" applyAlignment="1" applyBorder="1" applyFont="1" applyNumberFormat="1">
      <alignment horizontal="right" vertical="center"/>
    </xf>
    <xf borderId="19" fillId="3" fontId="5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bottom"/>
    </xf>
    <xf borderId="19" fillId="0" fontId="3" numFmtId="0" xfId="0" applyAlignment="1" applyBorder="1" applyFont="1">
      <alignment vertical="bottom"/>
    </xf>
    <xf borderId="20" fillId="3" fontId="5" numFmtId="0" xfId="0" applyAlignment="1" applyBorder="1" applyFont="1">
      <alignment horizontal="center" vertical="center"/>
    </xf>
    <xf borderId="21" fillId="3" fontId="5" numFmtId="0" xfId="0" applyAlignment="1" applyBorder="1" applyFont="1">
      <alignment readingOrder="0" vertical="center"/>
    </xf>
    <xf borderId="21" fillId="3" fontId="5" numFmtId="165" xfId="0" applyAlignment="1" applyBorder="1" applyFont="1" applyNumberFormat="1">
      <alignment vertical="center"/>
    </xf>
    <xf borderId="23" fillId="3" fontId="5" numFmtId="0" xfId="0" applyAlignment="1" applyBorder="1" applyFont="1">
      <alignment horizontal="center" vertical="center"/>
    </xf>
    <xf borderId="19" fillId="3" fontId="5" numFmtId="0" xfId="0" applyAlignment="1" applyBorder="1" applyFont="1">
      <alignment horizontal="left" shrinkToFit="1" vertical="center" wrapText="0"/>
    </xf>
    <xf borderId="21" fillId="3" fontId="5" numFmtId="0" xfId="0" applyAlignment="1" applyBorder="1" applyFont="1">
      <alignment vertical="center"/>
    </xf>
    <xf borderId="24" fillId="3" fontId="5" numFmtId="0" xfId="0" applyAlignment="1" applyBorder="1" applyFont="1">
      <alignment horizontal="center" vertical="center"/>
    </xf>
    <xf borderId="25" fillId="0" fontId="2" numFmtId="0" xfId="0" applyAlignment="1" applyBorder="1" applyFont="1">
      <alignment vertical="center"/>
    </xf>
    <xf borderId="26" fillId="3" fontId="5" numFmtId="0" xfId="0" applyAlignment="1" applyBorder="1" applyFont="1">
      <alignment vertical="center"/>
    </xf>
    <xf borderId="1" fillId="3" fontId="7" numFmtId="0" xfId="0" applyAlignment="1" applyBorder="1" applyFont="1">
      <alignment horizontal="right" vertical="center"/>
    </xf>
    <xf borderId="1" fillId="3" fontId="5" numFmtId="165" xfId="0" applyAlignment="1" applyBorder="1" applyFont="1" applyNumberFormat="1">
      <alignment horizontal="center" vertical="center"/>
    </xf>
    <xf borderId="27" fillId="3" fontId="7" numFmtId="0" xfId="0" applyAlignment="1" applyBorder="1" applyFont="1">
      <alignment horizontal="right" vertical="center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30" fillId="3" fontId="7" numFmtId="165" xfId="0" applyAlignment="1" applyBorder="1" applyFont="1" applyNumberFormat="1">
      <alignment horizontal="right" vertical="center"/>
    </xf>
    <xf borderId="31" fillId="3" fontId="7" numFmtId="0" xfId="0" applyAlignment="1" applyBorder="1" applyFont="1">
      <alignment horizontal="right" vertical="center"/>
    </xf>
    <xf borderId="32" fillId="0" fontId="2" numFmtId="0" xfId="0" applyAlignment="1" applyBorder="1" applyFont="1">
      <alignment vertical="center"/>
    </xf>
    <xf borderId="19" fillId="3" fontId="7" numFmtId="165" xfId="0" applyAlignment="1" applyBorder="1" applyFont="1" applyNumberFormat="1">
      <alignment horizontal="right" vertical="center"/>
    </xf>
    <xf borderId="33" fillId="3" fontId="7" numFmtId="0" xfId="0" applyAlignment="1" applyBorder="1" applyFont="1">
      <alignment horizontal="right" vertical="center"/>
    </xf>
    <xf borderId="34" fillId="0" fontId="2" numFmtId="0" xfId="0" applyAlignment="1" applyBorder="1" applyFont="1">
      <alignment vertical="center"/>
    </xf>
    <xf borderId="35" fillId="0" fontId="2" numFmtId="0" xfId="0" applyAlignment="1" applyBorder="1" applyFont="1">
      <alignment vertical="center"/>
    </xf>
    <xf borderId="36" fillId="3" fontId="7" numFmtId="165" xfId="0" applyAlignment="1" applyBorder="1" applyFont="1" applyNumberFormat="1">
      <alignment horizontal="right" vertical="center"/>
    </xf>
    <xf borderId="19" fillId="3" fontId="5" numFmtId="0" xfId="0" applyAlignment="1" applyBorder="1" applyFont="1">
      <alignment horizontal="left" readingOrder="0" shrinkToFit="0" vertical="center" wrapText="1"/>
    </xf>
    <xf quotePrefix="1" borderId="19" fillId="3" fontId="5" numFmtId="0" xfId="0" applyAlignment="1" applyBorder="1" applyFont="1">
      <alignment horizontal="left" readingOrder="0" vertical="center"/>
    </xf>
    <xf borderId="19" fillId="3" fontId="5" numFmtId="0" xfId="0" applyAlignment="1" applyBorder="1" applyFont="1">
      <alignment horizontal="left" readingOrder="0" vertical="center"/>
    </xf>
    <xf borderId="4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37" fillId="3" fontId="7" numFmtId="0" xfId="0" applyAlignment="1" applyBorder="1" applyFont="1">
      <alignment horizontal="center" vertical="center"/>
    </xf>
    <xf borderId="38" fillId="0" fontId="2" numFmtId="0" xfId="0" applyAlignment="1" applyBorder="1" applyFont="1">
      <alignment vertical="center"/>
    </xf>
    <xf borderId="39" fillId="0" fontId="2" numFmtId="0" xfId="0" applyAlignment="1" applyBorder="1" applyFont="1">
      <alignment vertical="center"/>
    </xf>
    <xf borderId="37" fillId="3" fontId="13" numFmtId="0" xfId="0" applyAlignment="1" applyBorder="1" applyFont="1">
      <alignment horizontal="center" readingOrder="0" vertical="center"/>
    </xf>
    <xf borderId="40" fillId="0" fontId="2" numFmtId="0" xfId="0" applyAlignment="1" applyBorder="1" applyFont="1">
      <alignment vertical="center"/>
    </xf>
    <xf borderId="41" fillId="0" fontId="2" numFmtId="0" xfId="0" applyAlignment="1" applyBorder="1" applyFont="1">
      <alignment vertical="center"/>
    </xf>
    <xf borderId="42" fillId="0" fontId="2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21" fillId="4" fontId="3" numFmtId="166" xfId="0" applyAlignment="1" applyBorder="1" applyFill="1" applyFont="1" applyNumberFormat="1">
      <alignment horizontal="center" shrinkToFit="0" vertical="bottom" wrapText="1"/>
    </xf>
    <xf borderId="21" fillId="4" fontId="3" numFmtId="0" xfId="0" applyAlignment="1" applyBorder="1" applyFont="1">
      <alignment horizontal="center" shrinkToFit="0" vertical="bottom" wrapText="1"/>
    </xf>
    <xf borderId="21" fillId="4" fontId="3" numFmtId="165" xfId="0" applyAlignment="1" applyBorder="1" applyFont="1" applyNumberForma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21" fillId="0" fontId="3" numFmtId="166" xfId="0" applyAlignment="1" applyBorder="1" applyFont="1" applyNumberFormat="1">
      <alignment horizontal="center" vertical="bottom"/>
    </xf>
    <xf borderId="21" fillId="0" fontId="3" numFmtId="0" xfId="0" applyAlignment="1" applyBorder="1" applyFont="1">
      <alignment vertical="bottom"/>
    </xf>
    <xf borderId="21" fillId="0" fontId="3" numFmtId="165" xfId="0" applyAlignment="1" applyBorder="1" applyFont="1" applyNumberFormat="1">
      <alignment horizontal="right" vertical="bottom"/>
    </xf>
    <xf borderId="21" fillId="0" fontId="3" numFmtId="0" xfId="0" applyAlignment="1" applyBorder="1" applyFont="1">
      <alignment shrinkToFit="0" vertical="bottom" wrapText="1"/>
    </xf>
    <xf borderId="21" fillId="0" fontId="3" numFmtId="0" xfId="0" applyAlignment="1" applyBorder="1" applyFont="1">
      <alignment horizontal="center" vertical="bottom"/>
    </xf>
    <xf borderId="21" fillId="0" fontId="3" numFmtId="2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21" fillId="0" fontId="14" numFmtId="0" xfId="0" applyAlignment="1" applyBorder="1" applyFont="1">
      <alignment vertical="center"/>
    </xf>
    <xf borderId="21" fillId="0" fontId="3" numFmtId="165" xfId="0" applyAlignment="1" applyBorder="1" applyFont="1" applyNumberFormat="1">
      <alignment vertical="bottom"/>
    </xf>
    <xf borderId="21" fillId="5" fontId="3" numFmtId="2" xfId="0" applyAlignment="1" applyBorder="1" applyFill="1" applyFont="1" applyNumberFormat="1">
      <alignment vertical="bottom"/>
    </xf>
    <xf borderId="21" fillId="5" fontId="3" numFmtId="167" xfId="0" applyAlignment="1" applyBorder="1" applyFont="1" applyNumberFormat="1">
      <alignment vertical="bottom"/>
    </xf>
    <xf borderId="21" fillId="0" fontId="14" numFmtId="0" xfId="0" applyAlignment="1" applyBorder="1" applyFont="1">
      <alignment vertical="bottom"/>
    </xf>
    <xf borderId="21" fillId="0" fontId="14" numFmtId="0" xfId="0" applyAlignment="1" applyBorder="1" applyFont="1">
      <alignment shrinkToFit="0" vertical="center" wrapText="1"/>
    </xf>
    <xf borderId="0" fillId="0" fontId="14" numFmtId="0" xfId="0" applyAlignment="1" applyFont="1">
      <alignment vertical="center"/>
    </xf>
    <xf borderId="21" fillId="0" fontId="3" numFmtId="0" xfId="0" applyAlignment="1" applyBorder="1" applyFont="1">
      <alignment vertical="center"/>
    </xf>
    <xf borderId="21" fillId="0" fontId="3" numFmtId="0" xfId="0" applyAlignment="1" applyBorder="1" applyFont="1">
      <alignment shrinkToFit="0" vertical="center" wrapText="1"/>
    </xf>
    <xf borderId="21" fillId="5" fontId="3" numFmtId="0" xfId="0" applyAlignment="1" applyBorder="1" applyFont="1">
      <alignment vertical="bottom"/>
    </xf>
    <xf borderId="21" fillId="0" fontId="14" numFmtId="0" xfId="0" applyAlignment="1" applyBorder="1" applyFont="1">
      <alignment horizontal="center" vertical="bottom"/>
    </xf>
    <xf borderId="21" fillId="0" fontId="14" numFmtId="165" xfId="0" applyAlignment="1" applyBorder="1" applyFont="1" applyNumberFormat="1">
      <alignment vertical="center"/>
    </xf>
    <xf borderId="43" fillId="0" fontId="3" numFmtId="0" xfId="0" applyAlignment="1" applyBorder="1" applyFont="1">
      <alignment horizontal="center" vertical="bottom"/>
    </xf>
    <xf borderId="44" fillId="0" fontId="2" numFmtId="0" xfId="0" applyAlignment="1" applyBorder="1" applyFont="1">
      <alignment vertical="center"/>
    </xf>
    <xf borderId="21" fillId="0" fontId="14" numFmtId="165" xfId="0" applyAlignment="1" applyBorder="1" applyFont="1" applyNumberFormat="1">
      <alignment vertical="bottom"/>
    </xf>
    <xf borderId="21" fillId="5" fontId="15" numFmtId="0" xfId="0" applyAlignment="1" applyBorder="1" applyFont="1">
      <alignment horizontal="center" vertical="bottom"/>
    </xf>
    <xf borderId="21" fillId="5" fontId="15" numFmtId="0" xfId="0" applyAlignment="1" applyBorder="1" applyFont="1">
      <alignment horizontal="center" vertical="center"/>
    </xf>
    <xf borderId="21" fillId="5" fontId="14" numFmtId="0" xfId="0" applyAlignment="1" applyBorder="1" applyFont="1">
      <alignment vertical="center"/>
    </xf>
    <xf borderId="21" fillId="5" fontId="15" numFmtId="0" xfId="0" applyAlignment="1" applyBorder="1" applyFont="1">
      <alignment vertical="center"/>
    </xf>
    <xf borderId="21" fillId="0" fontId="3" numFmtId="0" xfId="0" applyAlignment="1" applyBorder="1" applyFont="1">
      <alignment horizontal="center" readingOrder="0" vertical="bottom"/>
    </xf>
    <xf borderId="21" fillId="5" fontId="3" numFmtId="165" xfId="0" applyAlignment="1" applyBorder="1" applyFont="1" applyNumberFormat="1">
      <alignment vertical="bottom"/>
    </xf>
    <xf borderId="21" fillId="5" fontId="3" numFmtId="165" xfId="0" applyAlignment="1" applyBorder="1" applyFont="1" applyNumberFormat="1">
      <alignment horizontal="right" vertical="bottom"/>
    </xf>
    <xf borderId="21" fillId="0" fontId="14" numFmtId="0" xfId="0" applyAlignment="1" applyBorder="1" applyFont="1">
      <alignment horizontal="center" vertical="center"/>
    </xf>
    <xf borderId="21" fillId="0" fontId="14" numFmtId="0" xfId="0" applyAlignment="1" applyBorder="1" applyFont="1">
      <alignment shrinkToFit="0" vertical="bottom" wrapText="1"/>
    </xf>
    <xf borderId="21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EEECE1"/>
          <bgColor rgb="FFEEECE1"/>
        </patternFill>
      </fill>
      <border/>
    </dxf>
    <dxf>
      <font/>
      <fill>
        <patternFill patternType="solid">
          <fgColor rgb="FFB6DDE8"/>
          <bgColor rgb="FFB6DDE8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34.png"/><Relationship Id="rId83" Type="http://schemas.openxmlformats.org/officeDocument/2006/relationships/image" Target="../media/image80.jpg"/><Relationship Id="rId42" Type="http://schemas.openxmlformats.org/officeDocument/2006/relationships/image" Target="../media/image44.png"/><Relationship Id="rId41" Type="http://schemas.openxmlformats.org/officeDocument/2006/relationships/image" Target="../media/image41.png"/><Relationship Id="rId44" Type="http://schemas.openxmlformats.org/officeDocument/2006/relationships/image" Target="../media/image38.png"/><Relationship Id="rId43" Type="http://schemas.openxmlformats.org/officeDocument/2006/relationships/image" Target="../media/image37.png"/><Relationship Id="rId46" Type="http://schemas.openxmlformats.org/officeDocument/2006/relationships/image" Target="../media/image55.jpg"/><Relationship Id="rId45" Type="http://schemas.openxmlformats.org/officeDocument/2006/relationships/image" Target="../media/image42.jpg"/><Relationship Id="rId80" Type="http://schemas.openxmlformats.org/officeDocument/2006/relationships/image" Target="../media/image82.jpg"/><Relationship Id="rId82" Type="http://schemas.openxmlformats.org/officeDocument/2006/relationships/image" Target="../media/image79.jpg"/><Relationship Id="rId81" Type="http://schemas.openxmlformats.org/officeDocument/2006/relationships/image" Target="../media/image81.jpg"/><Relationship Id="rId1" Type="http://schemas.openxmlformats.org/officeDocument/2006/relationships/image" Target="../media/image11.png"/><Relationship Id="rId2" Type="http://schemas.openxmlformats.org/officeDocument/2006/relationships/image" Target="../media/image8.png"/><Relationship Id="rId3" Type="http://schemas.openxmlformats.org/officeDocument/2006/relationships/image" Target="../media/image20.png"/><Relationship Id="rId4" Type="http://schemas.openxmlformats.org/officeDocument/2006/relationships/image" Target="../media/image6.png"/><Relationship Id="rId9" Type="http://schemas.openxmlformats.org/officeDocument/2006/relationships/image" Target="../media/image9.png"/><Relationship Id="rId48" Type="http://schemas.openxmlformats.org/officeDocument/2006/relationships/image" Target="../media/image46.jpg"/><Relationship Id="rId47" Type="http://schemas.openxmlformats.org/officeDocument/2006/relationships/image" Target="../media/image43.jpg"/><Relationship Id="rId49" Type="http://schemas.openxmlformats.org/officeDocument/2006/relationships/image" Target="../media/image47.png"/><Relationship Id="rId5" Type="http://schemas.openxmlformats.org/officeDocument/2006/relationships/image" Target="../media/image72.png"/><Relationship Id="rId6" Type="http://schemas.openxmlformats.org/officeDocument/2006/relationships/image" Target="../media/image15.png"/><Relationship Id="rId7" Type="http://schemas.openxmlformats.org/officeDocument/2006/relationships/image" Target="../media/image23.png"/><Relationship Id="rId8" Type="http://schemas.openxmlformats.org/officeDocument/2006/relationships/image" Target="../media/image7.png"/><Relationship Id="rId73" Type="http://schemas.openxmlformats.org/officeDocument/2006/relationships/image" Target="../media/image74.jpg"/><Relationship Id="rId72" Type="http://schemas.openxmlformats.org/officeDocument/2006/relationships/image" Target="../media/image70.jpg"/><Relationship Id="rId31" Type="http://schemas.openxmlformats.org/officeDocument/2006/relationships/image" Target="../media/image35.png"/><Relationship Id="rId75" Type="http://schemas.openxmlformats.org/officeDocument/2006/relationships/image" Target="../media/image77.jpg"/><Relationship Id="rId30" Type="http://schemas.openxmlformats.org/officeDocument/2006/relationships/image" Target="../media/image33.png"/><Relationship Id="rId74" Type="http://schemas.openxmlformats.org/officeDocument/2006/relationships/image" Target="../media/image78.jpg"/><Relationship Id="rId33" Type="http://schemas.openxmlformats.org/officeDocument/2006/relationships/image" Target="../media/image24.png"/><Relationship Id="rId77" Type="http://schemas.openxmlformats.org/officeDocument/2006/relationships/image" Target="../media/image73.jpg"/><Relationship Id="rId32" Type="http://schemas.openxmlformats.org/officeDocument/2006/relationships/image" Target="../media/image39.png"/><Relationship Id="rId76" Type="http://schemas.openxmlformats.org/officeDocument/2006/relationships/image" Target="../media/image71.jpg"/><Relationship Id="rId35" Type="http://schemas.openxmlformats.org/officeDocument/2006/relationships/image" Target="../media/image31.png"/><Relationship Id="rId79" Type="http://schemas.openxmlformats.org/officeDocument/2006/relationships/image" Target="../media/image75.jpg"/><Relationship Id="rId34" Type="http://schemas.openxmlformats.org/officeDocument/2006/relationships/image" Target="../media/image25.png"/><Relationship Id="rId78" Type="http://schemas.openxmlformats.org/officeDocument/2006/relationships/image" Target="../media/image83.jpg"/><Relationship Id="rId71" Type="http://schemas.openxmlformats.org/officeDocument/2006/relationships/image" Target="../media/image76.jpg"/><Relationship Id="rId70" Type="http://schemas.openxmlformats.org/officeDocument/2006/relationships/image" Target="../media/image69.jpg"/><Relationship Id="rId37" Type="http://schemas.openxmlformats.org/officeDocument/2006/relationships/image" Target="../media/image32.png"/><Relationship Id="rId36" Type="http://schemas.openxmlformats.org/officeDocument/2006/relationships/image" Target="../media/image40.png"/><Relationship Id="rId39" Type="http://schemas.openxmlformats.org/officeDocument/2006/relationships/image" Target="../media/image26.png"/><Relationship Id="rId38" Type="http://schemas.openxmlformats.org/officeDocument/2006/relationships/image" Target="../media/image29.png"/><Relationship Id="rId62" Type="http://schemas.openxmlformats.org/officeDocument/2006/relationships/image" Target="../media/image60.jpg"/><Relationship Id="rId61" Type="http://schemas.openxmlformats.org/officeDocument/2006/relationships/image" Target="../media/image63.jpg"/><Relationship Id="rId20" Type="http://schemas.openxmlformats.org/officeDocument/2006/relationships/image" Target="../media/image18.png"/><Relationship Id="rId64" Type="http://schemas.openxmlformats.org/officeDocument/2006/relationships/image" Target="../media/image68.jpg"/><Relationship Id="rId63" Type="http://schemas.openxmlformats.org/officeDocument/2006/relationships/image" Target="../media/image59.jpg"/><Relationship Id="rId22" Type="http://schemas.openxmlformats.org/officeDocument/2006/relationships/image" Target="../media/image21.png"/><Relationship Id="rId66" Type="http://schemas.openxmlformats.org/officeDocument/2006/relationships/image" Target="../media/image66.jpg"/><Relationship Id="rId21" Type="http://schemas.openxmlformats.org/officeDocument/2006/relationships/image" Target="../media/image4.png"/><Relationship Id="rId65" Type="http://schemas.openxmlformats.org/officeDocument/2006/relationships/image" Target="../media/image65.jpg"/><Relationship Id="rId24" Type="http://schemas.openxmlformats.org/officeDocument/2006/relationships/image" Target="../media/image12.png"/><Relationship Id="rId68" Type="http://schemas.openxmlformats.org/officeDocument/2006/relationships/image" Target="../media/image67.jpg"/><Relationship Id="rId23" Type="http://schemas.openxmlformats.org/officeDocument/2006/relationships/image" Target="../media/image16.png"/><Relationship Id="rId67" Type="http://schemas.openxmlformats.org/officeDocument/2006/relationships/image" Target="../media/image62.jpg"/><Relationship Id="rId60" Type="http://schemas.openxmlformats.org/officeDocument/2006/relationships/image" Target="../media/image61.jpg"/><Relationship Id="rId26" Type="http://schemas.openxmlformats.org/officeDocument/2006/relationships/image" Target="../media/image28.png"/><Relationship Id="rId25" Type="http://schemas.openxmlformats.org/officeDocument/2006/relationships/image" Target="../media/image53.png"/><Relationship Id="rId69" Type="http://schemas.openxmlformats.org/officeDocument/2006/relationships/image" Target="../media/image64.jpg"/><Relationship Id="rId28" Type="http://schemas.openxmlformats.org/officeDocument/2006/relationships/image" Target="../media/image27.png"/><Relationship Id="rId27" Type="http://schemas.openxmlformats.org/officeDocument/2006/relationships/image" Target="../media/image36.png"/><Relationship Id="rId29" Type="http://schemas.openxmlformats.org/officeDocument/2006/relationships/image" Target="../media/image30.png"/><Relationship Id="rId51" Type="http://schemas.openxmlformats.org/officeDocument/2006/relationships/image" Target="../media/image45.jpg"/><Relationship Id="rId50" Type="http://schemas.openxmlformats.org/officeDocument/2006/relationships/image" Target="../media/image54.jpg"/><Relationship Id="rId53" Type="http://schemas.openxmlformats.org/officeDocument/2006/relationships/image" Target="../media/image48.jpg"/><Relationship Id="rId52" Type="http://schemas.openxmlformats.org/officeDocument/2006/relationships/image" Target="../media/image58.jpg"/><Relationship Id="rId11" Type="http://schemas.openxmlformats.org/officeDocument/2006/relationships/image" Target="../media/image2.png"/><Relationship Id="rId55" Type="http://schemas.openxmlformats.org/officeDocument/2006/relationships/image" Target="../media/image51.png"/><Relationship Id="rId10" Type="http://schemas.openxmlformats.org/officeDocument/2006/relationships/image" Target="../media/image5.png"/><Relationship Id="rId54" Type="http://schemas.openxmlformats.org/officeDocument/2006/relationships/image" Target="../media/image49.jpg"/><Relationship Id="rId13" Type="http://schemas.openxmlformats.org/officeDocument/2006/relationships/image" Target="../media/image1.png"/><Relationship Id="rId57" Type="http://schemas.openxmlformats.org/officeDocument/2006/relationships/image" Target="../media/image56.png"/><Relationship Id="rId12" Type="http://schemas.openxmlformats.org/officeDocument/2006/relationships/image" Target="../media/image10.png"/><Relationship Id="rId56" Type="http://schemas.openxmlformats.org/officeDocument/2006/relationships/image" Target="../media/image50.png"/><Relationship Id="rId15" Type="http://schemas.openxmlformats.org/officeDocument/2006/relationships/image" Target="../media/image17.png"/><Relationship Id="rId59" Type="http://schemas.openxmlformats.org/officeDocument/2006/relationships/image" Target="../media/image57.jpg"/><Relationship Id="rId14" Type="http://schemas.openxmlformats.org/officeDocument/2006/relationships/image" Target="../media/image22.png"/><Relationship Id="rId58" Type="http://schemas.openxmlformats.org/officeDocument/2006/relationships/image" Target="../media/image52.png"/><Relationship Id="rId17" Type="http://schemas.openxmlformats.org/officeDocument/2006/relationships/image" Target="../media/image14.png"/><Relationship Id="rId16" Type="http://schemas.openxmlformats.org/officeDocument/2006/relationships/image" Target="../media/image13.png"/><Relationship Id="rId19" Type="http://schemas.openxmlformats.org/officeDocument/2006/relationships/image" Target="../media/image19.jpg"/><Relationship Id="rId1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</xdr:colOff>
      <xdr:row>10</xdr:row>
      <xdr:rowOff>0</xdr:rowOff>
    </xdr:from>
    <xdr:ext cx="2038350" cy="600075"/>
    <xdr:sp>
      <xdr:nvSpPr>
        <xdr:cNvPr id="3" name="Shape 3"/>
        <xdr:cNvSpPr txBox="1"/>
      </xdr:nvSpPr>
      <xdr:spPr>
        <a:xfrm>
          <a:off x="4336350" y="3489488"/>
          <a:ext cx="2019300" cy="58102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accen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AMまでのご発注で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翌々日出荷となります</a:t>
          </a:r>
          <a:endParaRPr sz="12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63</xdr:row>
      <xdr:rowOff>219075</xdr:rowOff>
    </xdr:from>
    <xdr:ext cx="781050" cy="228600"/>
    <xdr:sp>
      <xdr:nvSpPr>
        <xdr:cNvPr id="4" name="Shape 4"/>
        <xdr:cNvSpPr/>
      </xdr:nvSpPr>
      <xdr:spPr>
        <a:xfrm>
          <a:off x="4965000" y="3675225"/>
          <a:ext cx="762000" cy="209550"/>
        </a:xfrm>
        <a:prstGeom prst="rect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19050</xdr:colOff>
      <xdr:row>64</xdr:row>
      <xdr:rowOff>409575</xdr:rowOff>
    </xdr:from>
    <xdr:ext cx="781050" cy="314325"/>
    <xdr:sp>
      <xdr:nvSpPr>
        <xdr:cNvPr id="5" name="Shape 5"/>
        <xdr:cNvSpPr/>
      </xdr:nvSpPr>
      <xdr:spPr>
        <a:xfrm>
          <a:off x="4965000" y="3632363"/>
          <a:ext cx="762000" cy="295275"/>
        </a:xfrm>
        <a:prstGeom prst="rect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276225</xdr:colOff>
      <xdr:row>65</xdr:row>
      <xdr:rowOff>276225</xdr:rowOff>
    </xdr:from>
    <xdr:ext cx="266700" cy="381000"/>
    <xdr:sp>
      <xdr:nvSpPr>
        <xdr:cNvPr id="6" name="Shape 6"/>
        <xdr:cNvSpPr/>
      </xdr:nvSpPr>
      <xdr:spPr>
        <a:xfrm>
          <a:off x="5222175" y="3599025"/>
          <a:ext cx="247650" cy="361950"/>
        </a:xfrm>
        <a:prstGeom prst="rect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28575</xdr:colOff>
      <xdr:row>66</xdr:row>
      <xdr:rowOff>161925</xdr:rowOff>
    </xdr:from>
    <xdr:ext cx="781050" cy="228600"/>
    <xdr:sp>
      <xdr:nvSpPr>
        <xdr:cNvPr id="4" name="Shape 4"/>
        <xdr:cNvSpPr/>
      </xdr:nvSpPr>
      <xdr:spPr>
        <a:xfrm>
          <a:off x="4965000" y="3675225"/>
          <a:ext cx="762000" cy="209550"/>
        </a:xfrm>
        <a:prstGeom prst="rect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67</xdr:row>
      <xdr:rowOff>438150</xdr:rowOff>
    </xdr:from>
    <xdr:ext cx="781050" cy="314325"/>
    <xdr:sp>
      <xdr:nvSpPr>
        <xdr:cNvPr id="5" name="Shape 5"/>
        <xdr:cNvSpPr/>
      </xdr:nvSpPr>
      <xdr:spPr>
        <a:xfrm>
          <a:off x="4965000" y="3632363"/>
          <a:ext cx="762000" cy="295275"/>
        </a:xfrm>
        <a:prstGeom prst="rect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266700</xdr:colOff>
      <xdr:row>68</xdr:row>
      <xdr:rowOff>180975</xdr:rowOff>
    </xdr:from>
    <xdr:ext cx="266700" cy="381000"/>
    <xdr:sp>
      <xdr:nvSpPr>
        <xdr:cNvPr id="6" name="Shape 6"/>
        <xdr:cNvSpPr/>
      </xdr:nvSpPr>
      <xdr:spPr>
        <a:xfrm>
          <a:off x="5222175" y="3599025"/>
          <a:ext cx="247650" cy="361950"/>
        </a:xfrm>
        <a:prstGeom prst="rect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209550</xdr:colOff>
      <xdr:row>1</xdr:row>
      <xdr:rowOff>123825</xdr:rowOff>
    </xdr:from>
    <xdr:ext cx="476250" cy="6477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3</xdr:row>
      <xdr:rowOff>85725</xdr:rowOff>
    </xdr:from>
    <xdr:ext cx="523875" cy="6858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5</xdr:row>
      <xdr:rowOff>161925</xdr:rowOff>
    </xdr:from>
    <xdr:ext cx="571500" cy="590550"/>
    <xdr:pic>
      <xdr:nvPicPr>
        <xdr:cNvPr id="0" name="image2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6</xdr:row>
      <xdr:rowOff>257175</xdr:rowOff>
    </xdr:from>
    <xdr:ext cx="638175" cy="5143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7</xdr:row>
      <xdr:rowOff>342900</xdr:rowOff>
    </xdr:from>
    <xdr:ext cx="676275" cy="400050"/>
    <xdr:pic>
      <xdr:nvPicPr>
        <xdr:cNvPr id="0" name="image7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8</xdr:row>
      <xdr:rowOff>352425</xdr:rowOff>
    </xdr:from>
    <xdr:ext cx="676275" cy="285750"/>
    <xdr:pic>
      <xdr:nvPicPr>
        <xdr:cNvPr id="0" name="image1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9</xdr:row>
      <xdr:rowOff>247650</xdr:rowOff>
    </xdr:from>
    <xdr:ext cx="542925" cy="476250"/>
    <xdr:pic>
      <xdr:nvPicPr>
        <xdr:cNvPr id="0" name="image2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10</xdr:row>
      <xdr:rowOff>361950</xdr:rowOff>
    </xdr:from>
    <xdr:ext cx="647700" cy="3619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13</xdr:row>
      <xdr:rowOff>171450</xdr:rowOff>
    </xdr:from>
    <xdr:ext cx="447675" cy="5429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12</xdr:row>
      <xdr:rowOff>200025</xdr:rowOff>
    </xdr:from>
    <xdr:ext cx="466725" cy="542925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11</xdr:row>
      <xdr:rowOff>180975</xdr:rowOff>
    </xdr:from>
    <xdr:ext cx="485775" cy="590550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14</xdr:row>
      <xdr:rowOff>85725</xdr:rowOff>
    </xdr:from>
    <xdr:ext cx="571500" cy="695325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15</xdr:row>
      <xdr:rowOff>104775</xdr:rowOff>
    </xdr:from>
    <xdr:ext cx="542925" cy="676275"/>
    <xdr:pic>
      <xdr:nvPicPr>
        <xdr:cNvPr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16</xdr:row>
      <xdr:rowOff>142875</xdr:rowOff>
    </xdr:from>
    <xdr:ext cx="533400" cy="638175"/>
    <xdr:pic>
      <xdr:nvPicPr>
        <xdr:cNvPr id="0" name="image2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17</xdr:row>
      <xdr:rowOff>152400</xdr:rowOff>
    </xdr:from>
    <xdr:ext cx="476250" cy="552450"/>
    <xdr:pic>
      <xdr:nvPicPr>
        <xdr:cNvPr id="0" name="image1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18</xdr:row>
      <xdr:rowOff>104775</xdr:rowOff>
    </xdr:from>
    <xdr:ext cx="514350" cy="619125"/>
    <xdr:pic>
      <xdr:nvPicPr>
        <xdr:cNvPr id="0" name="image1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19</xdr:row>
      <xdr:rowOff>133350</xdr:rowOff>
    </xdr:from>
    <xdr:ext cx="419100" cy="666750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22</xdr:row>
      <xdr:rowOff>66675</xdr:rowOff>
    </xdr:from>
    <xdr:ext cx="419100" cy="638175"/>
    <xdr:pic>
      <xdr:nvPicPr>
        <xdr:cNvPr id="0" name="image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33</xdr:row>
      <xdr:rowOff>95250</xdr:rowOff>
    </xdr:from>
    <xdr:ext cx="400050" cy="581025"/>
    <xdr:pic>
      <xdr:nvPicPr>
        <xdr:cNvPr id="0" name="image1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36</xdr:row>
      <xdr:rowOff>66675</xdr:rowOff>
    </xdr:from>
    <xdr:ext cx="533400" cy="619125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34</xdr:row>
      <xdr:rowOff>85725</xdr:rowOff>
    </xdr:from>
    <xdr:ext cx="514350" cy="590550"/>
    <xdr:pic>
      <xdr:nvPicPr>
        <xdr:cNvPr id="0" name="image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35</xdr:row>
      <xdr:rowOff>95250</xdr:rowOff>
    </xdr:from>
    <xdr:ext cx="495300" cy="552450"/>
    <xdr:pic>
      <xdr:nvPicPr>
        <xdr:cNvPr id="0" name="image2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31</xdr:row>
      <xdr:rowOff>85725</xdr:rowOff>
    </xdr:from>
    <xdr:ext cx="419100" cy="561975"/>
    <xdr:pic>
      <xdr:nvPicPr>
        <xdr:cNvPr id="0" name="image1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32</xdr:row>
      <xdr:rowOff>85725</xdr:rowOff>
    </xdr:from>
    <xdr:ext cx="400050" cy="571500"/>
    <xdr:pic>
      <xdr:nvPicPr>
        <xdr:cNvPr id="0" name="image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28</xdr:row>
      <xdr:rowOff>133350</xdr:rowOff>
    </xdr:from>
    <xdr:ext cx="409575" cy="638175"/>
    <xdr:pic>
      <xdr:nvPicPr>
        <xdr:cNvPr id="0" name="image5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25</xdr:row>
      <xdr:rowOff>123825</xdr:rowOff>
    </xdr:from>
    <xdr:ext cx="409575" cy="657225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37</xdr:row>
      <xdr:rowOff>171450</xdr:rowOff>
    </xdr:from>
    <xdr:ext cx="495300" cy="571500"/>
    <xdr:pic>
      <xdr:nvPicPr>
        <xdr:cNvPr id="0" name="image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38</xdr:row>
      <xdr:rowOff>142875</xdr:rowOff>
    </xdr:from>
    <xdr:ext cx="485775" cy="609600"/>
    <xdr:pic>
      <xdr:nvPicPr>
        <xdr:cNvPr id="0" name="image2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40</xdr:row>
      <xdr:rowOff>114300</xdr:rowOff>
    </xdr:from>
    <xdr:ext cx="542925" cy="695325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39</xdr:row>
      <xdr:rowOff>123825</xdr:rowOff>
    </xdr:from>
    <xdr:ext cx="523875" cy="695325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42</xdr:row>
      <xdr:rowOff>123825</xdr:rowOff>
    </xdr:from>
    <xdr:ext cx="504825" cy="638175"/>
    <xdr:pic>
      <xdr:nvPicPr>
        <xdr:cNvPr id="0" name="image3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41</xdr:row>
      <xdr:rowOff>180975</xdr:rowOff>
    </xdr:from>
    <xdr:ext cx="457200" cy="638175"/>
    <xdr:pic>
      <xdr:nvPicPr>
        <xdr:cNvPr id="0" name="image3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44</xdr:row>
      <xdr:rowOff>38100</xdr:rowOff>
    </xdr:from>
    <xdr:ext cx="552450" cy="685800"/>
    <xdr:pic>
      <xdr:nvPicPr>
        <xdr:cNvPr id="0" name="image2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43</xdr:row>
      <xdr:rowOff>95250</xdr:rowOff>
    </xdr:from>
    <xdr:ext cx="485775" cy="676275"/>
    <xdr:pic>
      <xdr:nvPicPr>
        <xdr:cNvPr id="0" name="image25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46</xdr:row>
      <xdr:rowOff>85725</xdr:rowOff>
    </xdr:from>
    <xdr:ext cx="447675" cy="685800"/>
    <xdr:pic>
      <xdr:nvPicPr>
        <xdr:cNvPr id="0" name="image3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45</xdr:row>
      <xdr:rowOff>57150</xdr:rowOff>
    </xdr:from>
    <xdr:ext cx="457200" cy="685800"/>
    <xdr:pic>
      <xdr:nvPicPr>
        <xdr:cNvPr id="0" name="image4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47</xdr:row>
      <xdr:rowOff>133350</xdr:rowOff>
    </xdr:from>
    <xdr:ext cx="476250" cy="571500"/>
    <xdr:pic>
      <xdr:nvPicPr>
        <xdr:cNvPr id="0" name="image32.png" title="画像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48</xdr:row>
      <xdr:rowOff>190500</xdr:rowOff>
    </xdr:from>
    <xdr:ext cx="495300" cy="590550"/>
    <xdr:pic>
      <xdr:nvPicPr>
        <xdr:cNvPr id="0" name="image29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49</xdr:row>
      <xdr:rowOff>171450</xdr:rowOff>
    </xdr:from>
    <xdr:ext cx="438150" cy="571500"/>
    <xdr:pic>
      <xdr:nvPicPr>
        <xdr:cNvPr id="0" name="image26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50</xdr:row>
      <xdr:rowOff>57150</xdr:rowOff>
    </xdr:from>
    <xdr:ext cx="447675" cy="609600"/>
    <xdr:pic>
      <xdr:nvPicPr>
        <xdr:cNvPr id="0" name="image34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51</xdr:row>
      <xdr:rowOff>95250</xdr:rowOff>
    </xdr:from>
    <xdr:ext cx="466725" cy="647700"/>
    <xdr:pic>
      <xdr:nvPicPr>
        <xdr:cNvPr id="0" name="image4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52</xdr:row>
      <xdr:rowOff>133350</xdr:rowOff>
    </xdr:from>
    <xdr:ext cx="371475" cy="609600"/>
    <xdr:pic>
      <xdr:nvPicPr>
        <xdr:cNvPr id="0" name="image4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58</xdr:row>
      <xdr:rowOff>133350</xdr:rowOff>
    </xdr:from>
    <xdr:ext cx="571500" cy="457200"/>
    <xdr:pic>
      <xdr:nvPicPr>
        <xdr:cNvPr id="0" name="image37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59</xdr:row>
      <xdr:rowOff>133350</xdr:rowOff>
    </xdr:from>
    <xdr:ext cx="523875" cy="438150"/>
    <xdr:pic>
      <xdr:nvPicPr>
        <xdr:cNvPr id="0" name="image38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56</xdr:row>
      <xdr:rowOff>161925</xdr:rowOff>
    </xdr:from>
    <xdr:ext cx="257175" cy="581025"/>
    <xdr:pic>
      <xdr:nvPicPr>
        <xdr:cNvPr id="0" name="image42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55</xdr:row>
      <xdr:rowOff>123825</xdr:rowOff>
    </xdr:from>
    <xdr:ext cx="257175" cy="581025"/>
    <xdr:pic>
      <xdr:nvPicPr>
        <xdr:cNvPr id="0" name="image55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54</xdr:row>
      <xdr:rowOff>123825</xdr:rowOff>
    </xdr:from>
    <xdr:ext cx="257175" cy="581025"/>
    <xdr:pic>
      <xdr:nvPicPr>
        <xdr:cNvPr id="0" name="image43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53</xdr:row>
      <xdr:rowOff>114300</xdr:rowOff>
    </xdr:from>
    <xdr:ext cx="257175" cy="581025"/>
    <xdr:pic>
      <xdr:nvPicPr>
        <xdr:cNvPr id="0" name="image46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57</xdr:row>
      <xdr:rowOff>38100</xdr:rowOff>
    </xdr:from>
    <xdr:ext cx="533400" cy="704850"/>
    <xdr:pic>
      <xdr:nvPicPr>
        <xdr:cNvPr id="0" name="image47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62</xdr:row>
      <xdr:rowOff>285750</xdr:rowOff>
    </xdr:from>
    <xdr:ext cx="628650" cy="438150"/>
    <xdr:pic>
      <xdr:nvPicPr>
        <xdr:cNvPr id="0" name="image54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61</xdr:row>
      <xdr:rowOff>238125</xdr:rowOff>
    </xdr:from>
    <xdr:ext cx="628650" cy="428625"/>
    <xdr:pic>
      <xdr:nvPicPr>
        <xdr:cNvPr id="0" name="image45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60</xdr:row>
      <xdr:rowOff>257175</xdr:rowOff>
    </xdr:from>
    <xdr:ext cx="628650" cy="438150"/>
    <xdr:pic>
      <xdr:nvPicPr>
        <xdr:cNvPr id="0" name="image58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63</xdr:row>
      <xdr:rowOff>285750</xdr:rowOff>
    </xdr:from>
    <xdr:ext cx="647700" cy="352425"/>
    <xdr:pic>
      <xdr:nvPicPr>
        <xdr:cNvPr id="0" name="image48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64</xdr:row>
      <xdr:rowOff>285750</xdr:rowOff>
    </xdr:from>
    <xdr:ext cx="647700" cy="352425"/>
    <xdr:pic>
      <xdr:nvPicPr>
        <xdr:cNvPr id="0" name="image48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65</xdr:row>
      <xdr:rowOff>352425</xdr:rowOff>
    </xdr:from>
    <xdr:ext cx="742950" cy="276225"/>
    <xdr:pic>
      <xdr:nvPicPr>
        <xdr:cNvPr id="0" name="image49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69</xdr:row>
      <xdr:rowOff>171450</xdr:rowOff>
    </xdr:from>
    <xdr:ext cx="542925" cy="571500"/>
    <xdr:pic>
      <xdr:nvPicPr>
        <xdr:cNvPr id="0" name="image51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71</xdr:row>
      <xdr:rowOff>171450</xdr:rowOff>
    </xdr:from>
    <xdr:ext cx="514350" cy="561975"/>
    <xdr:pic>
      <xdr:nvPicPr>
        <xdr:cNvPr id="0" name="image50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73</xdr:row>
      <xdr:rowOff>171450</xdr:rowOff>
    </xdr:from>
    <xdr:ext cx="466725" cy="581025"/>
    <xdr:pic>
      <xdr:nvPicPr>
        <xdr:cNvPr id="0" name="image5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74</xdr:row>
      <xdr:rowOff>142875</xdr:rowOff>
    </xdr:from>
    <xdr:ext cx="466725" cy="571500"/>
    <xdr:pic>
      <xdr:nvPicPr>
        <xdr:cNvPr id="0" name="image52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76</xdr:row>
      <xdr:rowOff>133350</xdr:rowOff>
    </xdr:from>
    <xdr:ext cx="276225" cy="676275"/>
    <xdr:pic>
      <xdr:nvPicPr>
        <xdr:cNvPr id="0" name="image57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75</xdr:row>
      <xdr:rowOff>133350</xdr:rowOff>
    </xdr:from>
    <xdr:ext cx="361950" cy="552450"/>
    <xdr:pic>
      <xdr:nvPicPr>
        <xdr:cNvPr id="0" name="image61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87</xdr:row>
      <xdr:rowOff>142875</xdr:rowOff>
    </xdr:from>
    <xdr:ext cx="333375" cy="647700"/>
    <xdr:pic>
      <xdr:nvPicPr>
        <xdr:cNvPr id="0" name="image63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88</xdr:row>
      <xdr:rowOff>133350</xdr:rowOff>
    </xdr:from>
    <xdr:ext cx="342900" cy="552450"/>
    <xdr:pic>
      <xdr:nvPicPr>
        <xdr:cNvPr id="0" name="image60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86</xdr:row>
      <xdr:rowOff>152400</xdr:rowOff>
    </xdr:from>
    <xdr:ext cx="333375" cy="638175"/>
    <xdr:pic>
      <xdr:nvPicPr>
        <xdr:cNvPr id="0" name="image59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88</xdr:row>
      <xdr:rowOff>771525</xdr:rowOff>
    </xdr:from>
    <xdr:ext cx="571500" cy="857250"/>
    <xdr:pic>
      <xdr:nvPicPr>
        <xdr:cNvPr id="0" name="image68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82</xdr:row>
      <xdr:rowOff>85725</xdr:rowOff>
    </xdr:from>
    <xdr:ext cx="552450" cy="600075"/>
    <xdr:pic>
      <xdr:nvPicPr>
        <xdr:cNvPr id="0" name="image65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102</xdr:row>
      <xdr:rowOff>66675</xdr:rowOff>
    </xdr:from>
    <xdr:ext cx="533400" cy="552450"/>
    <xdr:pic>
      <xdr:nvPicPr>
        <xdr:cNvPr id="0" name="image66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101</xdr:row>
      <xdr:rowOff>104775</xdr:rowOff>
    </xdr:from>
    <xdr:ext cx="533400" cy="542925"/>
    <xdr:pic>
      <xdr:nvPicPr>
        <xdr:cNvPr id="0" name="image62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99</xdr:row>
      <xdr:rowOff>85725</xdr:rowOff>
    </xdr:from>
    <xdr:ext cx="542925" cy="542925"/>
    <xdr:pic>
      <xdr:nvPicPr>
        <xdr:cNvPr id="0" name="image67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97</xdr:row>
      <xdr:rowOff>114300</xdr:rowOff>
    </xdr:from>
    <xdr:ext cx="542925" cy="542925"/>
    <xdr:pic>
      <xdr:nvPicPr>
        <xdr:cNvPr id="0" name="image64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106</xdr:row>
      <xdr:rowOff>38100</xdr:rowOff>
    </xdr:from>
    <xdr:ext cx="685800" cy="685800"/>
    <xdr:pic>
      <xdr:nvPicPr>
        <xdr:cNvPr id="0" name="image69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115</xdr:row>
      <xdr:rowOff>19050</xdr:rowOff>
    </xdr:from>
    <xdr:ext cx="704850" cy="714375"/>
    <xdr:pic>
      <xdr:nvPicPr>
        <xdr:cNvPr id="0" name="image76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124</xdr:row>
      <xdr:rowOff>66675</xdr:rowOff>
    </xdr:from>
    <xdr:ext cx="523875" cy="762000"/>
    <xdr:pic>
      <xdr:nvPicPr>
        <xdr:cNvPr id="0" name="image70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112</xdr:row>
      <xdr:rowOff>57150</xdr:rowOff>
    </xdr:from>
    <xdr:ext cx="723900" cy="714375"/>
    <xdr:pic>
      <xdr:nvPicPr>
        <xdr:cNvPr id="0" name="image74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109</xdr:row>
      <xdr:rowOff>76200</xdr:rowOff>
    </xdr:from>
    <xdr:ext cx="676275" cy="676275"/>
    <xdr:pic>
      <xdr:nvPicPr>
        <xdr:cNvPr id="0" name="image78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118</xdr:row>
      <xdr:rowOff>47625</xdr:rowOff>
    </xdr:from>
    <xdr:ext cx="704850" cy="714375"/>
    <xdr:pic>
      <xdr:nvPicPr>
        <xdr:cNvPr id="0" name="image77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127</xdr:row>
      <xdr:rowOff>57150</xdr:rowOff>
    </xdr:from>
    <xdr:ext cx="533400" cy="762000"/>
    <xdr:pic>
      <xdr:nvPicPr>
        <xdr:cNvPr id="0" name="image71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103</xdr:row>
      <xdr:rowOff>38100</xdr:rowOff>
    </xdr:from>
    <xdr:ext cx="704850" cy="704850"/>
    <xdr:pic>
      <xdr:nvPicPr>
        <xdr:cNvPr id="0" name="image73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99</xdr:row>
      <xdr:rowOff>142875</xdr:rowOff>
    </xdr:from>
    <xdr:ext cx="495300" cy="390525"/>
    <xdr:pic>
      <xdr:nvPicPr>
        <xdr:cNvPr id="0" name="image83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66</xdr:row>
      <xdr:rowOff>238125</xdr:rowOff>
    </xdr:from>
    <xdr:ext cx="628650" cy="342900"/>
    <xdr:pic>
      <xdr:nvPicPr>
        <xdr:cNvPr id="0" name="image75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67</xdr:row>
      <xdr:rowOff>295275</xdr:rowOff>
    </xdr:from>
    <xdr:ext cx="628650" cy="342900"/>
    <xdr:pic>
      <xdr:nvPicPr>
        <xdr:cNvPr id="0" name="image75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68</xdr:row>
      <xdr:rowOff>238125</xdr:rowOff>
    </xdr:from>
    <xdr:ext cx="742950" cy="276225"/>
    <xdr:pic>
      <xdr:nvPicPr>
        <xdr:cNvPr id="0" name="image82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485775" cy="828675"/>
    <xdr:pic>
      <xdr:nvPicPr>
        <xdr:cNvPr id="0" name="image81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838200" cy="552450"/>
    <xdr:pic>
      <xdr:nvPicPr>
        <xdr:cNvPr id="0" name="image79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561975" cy="828675"/>
    <xdr:pic>
      <xdr:nvPicPr>
        <xdr:cNvPr id="0" name="image80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5" width="11.0"/>
    <col customWidth="1" min="6" max="6" width="14.86"/>
    <col customWidth="1" min="8" max="8" width="7.43"/>
    <col customWidth="1" min="9" max="10" width="13.43"/>
    <col customWidth="1" min="11" max="26" width="9.0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6"/>
      <c r="B2" s="6"/>
      <c r="C2" s="6"/>
      <c r="D2" s="6"/>
      <c r="E2" s="6"/>
      <c r="F2" s="6"/>
      <c r="G2" s="6"/>
      <c r="H2" s="6"/>
      <c r="I2" s="6"/>
      <c r="J2" s="6"/>
      <c r="K2" s="4"/>
      <c r="L2" s="4"/>
      <c r="M2" s="4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7"/>
      <c r="B3" s="7"/>
      <c r="C3" s="7"/>
      <c r="D3" s="7"/>
      <c r="E3" s="7"/>
      <c r="F3" s="7"/>
      <c r="G3" s="7"/>
      <c r="H3" s="8" t="s">
        <v>1</v>
      </c>
      <c r="I3" s="9">
        <v>46127.0</v>
      </c>
      <c r="J3" s="10"/>
      <c r="K3" s="4"/>
      <c r="L3" s="4"/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1" t="s">
        <v>2</v>
      </c>
      <c r="B4" s="12"/>
      <c r="C4" s="7"/>
      <c r="D4" s="7"/>
      <c r="E4" s="7"/>
      <c r="F4" s="7"/>
      <c r="G4" s="7"/>
      <c r="H4" s="13"/>
      <c r="I4" s="7"/>
      <c r="J4" s="7"/>
      <c r="K4" s="4"/>
      <c r="L4" s="4"/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4" t="s">
        <v>3</v>
      </c>
      <c r="B5" s="15"/>
      <c r="C5" s="15"/>
      <c r="D5" s="15"/>
      <c r="E5" s="15"/>
      <c r="F5" s="7"/>
      <c r="G5" s="7"/>
      <c r="H5" s="7"/>
      <c r="I5" s="16"/>
      <c r="J5" s="7"/>
      <c r="K5" s="4"/>
      <c r="L5" s="4"/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7"/>
      <c r="F6" s="7"/>
      <c r="G6" s="7"/>
      <c r="H6" s="7"/>
      <c r="I6" s="16"/>
      <c r="J6" s="7"/>
      <c r="K6" s="4"/>
      <c r="L6" s="4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7"/>
      <c r="B7" s="7"/>
      <c r="C7" s="7"/>
      <c r="D7" s="7"/>
      <c r="E7" s="7"/>
      <c r="F7" s="7"/>
      <c r="G7" s="7"/>
      <c r="H7" s="7"/>
      <c r="I7" s="16"/>
      <c r="J7" s="7"/>
      <c r="K7" s="4"/>
      <c r="L7" s="4"/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7.25" customHeight="1">
      <c r="A8" s="7" t="s">
        <v>4</v>
      </c>
      <c r="B8" s="7"/>
      <c r="C8" s="7"/>
      <c r="D8" s="7"/>
      <c r="E8" s="7"/>
      <c r="F8" s="7"/>
      <c r="G8" s="7"/>
      <c r="H8" s="7"/>
      <c r="I8" s="16"/>
      <c r="J8" s="7"/>
      <c r="K8" s="4"/>
      <c r="L8" s="4"/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7"/>
      <c r="B9" s="7"/>
      <c r="C9" s="7"/>
      <c r="D9" s="7"/>
      <c r="E9" s="7"/>
      <c r="F9" s="7"/>
      <c r="G9" s="7"/>
      <c r="H9" s="7"/>
      <c r="I9" s="16"/>
      <c r="J9" s="7"/>
      <c r="K9" s="4"/>
      <c r="L9" s="4"/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18" t="s">
        <v>5</v>
      </c>
      <c r="B10" s="19"/>
      <c r="C10" s="20"/>
      <c r="D10" s="19"/>
      <c r="E10" s="19"/>
      <c r="F10" s="21"/>
      <c r="G10" s="13"/>
      <c r="H10" s="7"/>
      <c r="I10" s="7"/>
      <c r="J10" s="7"/>
      <c r="K10" s="4"/>
      <c r="L10" s="4"/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22"/>
      <c r="B11" s="23"/>
      <c r="C11" s="22"/>
      <c r="D11" s="23"/>
      <c r="E11" s="23"/>
      <c r="F11" s="24"/>
      <c r="G11" s="13"/>
      <c r="H11" s="7"/>
      <c r="I11" s="7"/>
      <c r="J11" s="7"/>
      <c r="K11" s="4"/>
      <c r="L11" s="4"/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8" t="s">
        <v>6</v>
      </c>
      <c r="B12" s="21"/>
      <c r="C12" s="20"/>
      <c r="D12" s="19"/>
      <c r="E12" s="19"/>
      <c r="F12" s="21"/>
      <c r="G12" s="13"/>
      <c r="H12" s="7"/>
      <c r="I12" s="7"/>
      <c r="J12" s="7"/>
      <c r="K12" s="4"/>
      <c r="L12" s="4"/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22"/>
      <c r="B13" s="24"/>
      <c r="C13" s="22"/>
      <c r="D13" s="23"/>
      <c r="E13" s="23"/>
      <c r="F13" s="24"/>
      <c r="G13" s="13"/>
      <c r="H13" s="7"/>
      <c r="I13" s="7"/>
      <c r="J13" s="7"/>
      <c r="K13" s="4"/>
      <c r="L13" s="4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8" t="s">
        <v>7</v>
      </c>
      <c r="B14" s="19"/>
      <c r="C14" s="20"/>
      <c r="D14" s="19"/>
      <c r="E14" s="19"/>
      <c r="F14" s="21"/>
      <c r="G14" s="13"/>
      <c r="H14" s="7"/>
      <c r="I14" s="7"/>
      <c r="J14" s="7"/>
      <c r="K14" s="4"/>
      <c r="L14" s="4"/>
      <c r="M14" s="4"/>
      <c r="N14" s="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22"/>
      <c r="B15" s="23"/>
      <c r="C15" s="22"/>
      <c r="D15" s="23"/>
      <c r="E15" s="23"/>
      <c r="F15" s="24"/>
      <c r="G15" s="13"/>
      <c r="H15" s="7"/>
      <c r="I15" s="7"/>
      <c r="J15" s="7"/>
      <c r="K15" s="4"/>
      <c r="L15" s="4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4"/>
      <c r="L16" s="4"/>
      <c r="M16" s="4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25" t="s">
        <v>8</v>
      </c>
      <c r="B17" s="26"/>
      <c r="C17" s="27" t="s">
        <v>9</v>
      </c>
      <c r="D17" s="28" t="s">
        <v>10</v>
      </c>
      <c r="E17" s="29"/>
      <c r="F17" s="26"/>
      <c r="G17" s="27" t="s">
        <v>11</v>
      </c>
      <c r="H17" s="30" t="str">
        <f>IFERROR(VLOOKUP(D17,'送料対応表'!A:C,3,0),"")</f>
        <v>1日～2日</v>
      </c>
      <c r="I17" s="29"/>
      <c r="J17" s="26"/>
      <c r="K17" s="4"/>
      <c r="L17" s="4"/>
      <c r="M17" s="4"/>
      <c r="N17" s="4"/>
      <c r="O17" s="4"/>
      <c r="P17" s="4"/>
      <c r="Q17" s="4"/>
      <c r="R17" s="4"/>
      <c r="S17" s="4"/>
      <c r="T17" s="5"/>
      <c r="U17" s="4"/>
      <c r="V17" s="4"/>
      <c r="W17" s="4"/>
      <c r="X17" s="4"/>
      <c r="Y17" s="4"/>
      <c r="Z17" s="4"/>
    </row>
    <row r="18" ht="36.75" customHeight="1">
      <c r="A18" s="16"/>
      <c r="B18" s="16"/>
      <c r="C18" s="16"/>
      <c r="D18" s="16"/>
      <c r="E18" s="31" t="s">
        <v>12</v>
      </c>
      <c r="F18" s="10"/>
      <c r="G18" s="32">
        <f>IFERROR(I30,"")</f>
        <v>84000</v>
      </c>
      <c r="H18" s="10"/>
      <c r="I18" s="10"/>
      <c r="J18" s="10"/>
      <c r="K18" s="4"/>
      <c r="L18" s="4"/>
      <c r="M18" s="4"/>
      <c r="N18" s="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4"/>
      <c r="L19" s="4"/>
      <c r="M19" s="4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33" t="s">
        <v>13</v>
      </c>
      <c r="B20" s="26"/>
      <c r="C20" s="33" t="s">
        <v>14</v>
      </c>
      <c r="D20" s="29"/>
      <c r="E20" s="29"/>
      <c r="F20" s="26"/>
      <c r="G20" s="27" t="s">
        <v>15</v>
      </c>
      <c r="H20" s="27" t="s">
        <v>16</v>
      </c>
      <c r="I20" s="27" t="s">
        <v>17</v>
      </c>
      <c r="J20" s="27" t="s">
        <v>18</v>
      </c>
      <c r="K20" s="4"/>
      <c r="L20" s="4"/>
      <c r="M20" s="4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4" t="s">
        <v>19</v>
      </c>
      <c r="B21" s="26"/>
      <c r="C21" s="35" t="s">
        <v>20</v>
      </c>
      <c r="D21" s="29"/>
      <c r="E21" s="29"/>
      <c r="F21" s="26"/>
      <c r="G21" s="36" t="str">
        <f>IFERROR(VLOOKUP(A21,'リスト'!A:T,5,0),"")</f>
        <v/>
      </c>
      <c r="H21" s="37">
        <v>2.0</v>
      </c>
      <c r="I21" s="38">
        <f>IFERROR(VLOOKUP(A21,'リスト'!A:T,8,0),"")</f>
        <v>28000</v>
      </c>
      <c r="J21" s="38">
        <f t="shared" ref="J21:J28" si="1">IFERROR(H21*I21,"")</f>
        <v>56000</v>
      </c>
      <c r="K21" s="4"/>
      <c r="L21" s="4"/>
      <c r="M21" s="4"/>
      <c r="N21" s="5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4" t="s">
        <v>21</v>
      </c>
      <c r="B22" s="26"/>
      <c r="C22" s="35" t="s">
        <v>22</v>
      </c>
      <c r="D22" s="29"/>
      <c r="E22" s="29"/>
      <c r="F22" s="26"/>
      <c r="G22" s="39" t="str">
        <f>IFERROR(VLOOKUP(A22,'リスト'!A:T,5,0),"")</f>
        <v/>
      </c>
      <c r="H22" s="37">
        <v>2.0</v>
      </c>
      <c r="I22" s="38">
        <f>IFERROR(VLOOKUP(A22,'リスト'!A:T,8,0),"")</f>
        <v>14000</v>
      </c>
      <c r="J22" s="38">
        <f t="shared" si="1"/>
        <v>28000</v>
      </c>
      <c r="K22" s="4"/>
      <c r="L22" s="4"/>
      <c r="M22" s="4"/>
      <c r="N22" s="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3"/>
      <c r="B23" s="26"/>
      <c r="C23" s="40" t="str">
        <f>IFERROR(VLOOKUP(A23,'リスト'!A:T,3,0),"")</f>
        <v/>
      </c>
      <c r="D23" s="29"/>
      <c r="E23" s="29"/>
      <c r="F23" s="26"/>
      <c r="G23" s="39" t="str">
        <f>IFERROR(VLOOKUP(A23,'リスト'!A:T,5,0),"")</f>
        <v/>
      </c>
      <c r="H23" s="41"/>
      <c r="I23" s="38" t="str">
        <f>IFERROR(VLOOKUP(A23,'リスト'!A:T,8,0),"")</f>
        <v/>
      </c>
      <c r="J23" s="38">
        <f t="shared" si="1"/>
        <v>0</v>
      </c>
      <c r="K23" s="4"/>
      <c r="L23" s="4"/>
      <c r="M23" s="4"/>
      <c r="N23" s="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3"/>
      <c r="B24" s="26"/>
      <c r="C24" s="40" t="str">
        <f>IFERROR(VLOOKUP(A24,'リスト'!A:T,3,0),"")</f>
        <v/>
      </c>
      <c r="D24" s="29"/>
      <c r="E24" s="29"/>
      <c r="F24" s="26"/>
      <c r="G24" s="39" t="str">
        <f>IFERROR(VLOOKUP(A24,'リスト'!A:T,5,0),"")</f>
        <v/>
      </c>
      <c r="H24" s="41"/>
      <c r="I24" s="38" t="str">
        <f>IFERROR(VLOOKUP(A24,'リスト'!A:T,8,0),"")</f>
        <v/>
      </c>
      <c r="J24" s="38">
        <f t="shared" si="1"/>
        <v>0</v>
      </c>
      <c r="K24" s="4"/>
      <c r="L24" s="4"/>
      <c r="M24" s="4"/>
      <c r="N24" s="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3"/>
      <c r="B25" s="26"/>
      <c r="C25" s="40" t="str">
        <f>IFERROR(VLOOKUP(A25,'リスト'!A:T,3,0),"")</f>
        <v/>
      </c>
      <c r="D25" s="29"/>
      <c r="E25" s="29"/>
      <c r="F25" s="26"/>
      <c r="G25" s="39" t="str">
        <f>IFERROR(VLOOKUP(A25,'リスト'!A:T,5,0),"")</f>
        <v/>
      </c>
      <c r="H25" s="41"/>
      <c r="I25" s="38" t="str">
        <f>IFERROR(VLOOKUP(A25,'リスト'!A:T,8,0),"")</f>
        <v/>
      </c>
      <c r="J25" s="38">
        <f t="shared" si="1"/>
        <v>0</v>
      </c>
      <c r="K25" s="4"/>
      <c r="L25" s="4"/>
      <c r="M25" s="4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3"/>
      <c r="B26" s="26"/>
      <c r="C26" s="40" t="str">
        <f>IFERROR(VLOOKUP(A26,'リスト'!A:T,3,0),"")</f>
        <v/>
      </c>
      <c r="D26" s="29"/>
      <c r="E26" s="29"/>
      <c r="F26" s="26"/>
      <c r="G26" s="39" t="str">
        <f>IFERROR(VLOOKUP(A26,'リスト'!A:T,5,0),"")</f>
        <v/>
      </c>
      <c r="H26" s="41"/>
      <c r="I26" s="38" t="str">
        <f>IFERROR(VLOOKUP(A26,'リスト'!A:T,8,0),"")</f>
        <v/>
      </c>
      <c r="J26" s="38">
        <f t="shared" si="1"/>
        <v>0</v>
      </c>
      <c r="K26" s="4"/>
      <c r="L26" s="4"/>
      <c r="M26" s="4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3"/>
      <c r="B27" s="26"/>
      <c r="C27" s="40" t="str">
        <f>IFERROR(VLOOKUP(A27,'リスト'!A:T,3,0),"")</f>
        <v/>
      </c>
      <c r="D27" s="29"/>
      <c r="E27" s="29"/>
      <c r="F27" s="26"/>
      <c r="G27" s="39" t="str">
        <f>IFERROR(VLOOKUP(A27,'リスト'!A:T,5,0),"")</f>
        <v/>
      </c>
      <c r="H27" s="41"/>
      <c r="I27" s="38" t="str">
        <f>IFERROR(VLOOKUP(A27,'リスト'!A:T,8,0),"")</f>
        <v/>
      </c>
      <c r="J27" s="38">
        <f t="shared" si="1"/>
        <v>0</v>
      </c>
      <c r="K27" s="5"/>
      <c r="L27" s="5"/>
      <c r="M27" s="5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42"/>
      <c r="B28" s="43"/>
      <c r="C28" s="40" t="str">
        <f>IFERROR(VLOOKUP(A28,'リスト'!A:T,3,0),"")</f>
        <v/>
      </c>
      <c r="D28" s="29"/>
      <c r="E28" s="29"/>
      <c r="F28" s="26"/>
      <c r="G28" s="39" t="str">
        <f>IFERROR(VLOOKUP(A28,'リスト'!A:T,5,0),"")</f>
        <v/>
      </c>
      <c r="H28" s="44"/>
      <c r="I28" s="38" t="str">
        <f>IFERROR(VLOOKUP(A28,'リスト'!A:T,8,0),"")</f>
        <v/>
      </c>
      <c r="J28" s="38">
        <f t="shared" si="1"/>
        <v>0</v>
      </c>
      <c r="K28" s="5"/>
      <c r="L28" s="5"/>
      <c r="M28" s="5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45" t="s">
        <v>23</v>
      </c>
      <c r="B29" s="2"/>
      <c r="C29" s="2"/>
      <c r="D29" s="2"/>
      <c r="E29" s="2"/>
      <c r="F29" s="2"/>
      <c r="G29" s="2"/>
      <c r="H29" s="2"/>
      <c r="I29" s="46">
        <f>IFERROR(VLOOKUP(D17,'送料対応表'!A:B,2,0),"")</f>
        <v>0</v>
      </c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8.5" customHeight="1">
      <c r="A30" s="47" t="s">
        <v>24</v>
      </c>
      <c r="B30" s="48"/>
      <c r="C30" s="48"/>
      <c r="D30" s="48"/>
      <c r="E30" s="48"/>
      <c r="F30" s="48"/>
      <c r="G30" s="48"/>
      <c r="H30" s="49"/>
      <c r="I30" s="50">
        <f>IFERROR(SUM(J21:J28)+I29,"")</f>
        <v>84000</v>
      </c>
      <c r="J30" s="4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8.5" customHeight="1">
      <c r="A31" s="51" t="s">
        <v>25</v>
      </c>
      <c r="B31" s="29"/>
      <c r="C31" s="29"/>
      <c r="D31" s="29"/>
      <c r="E31" s="29"/>
      <c r="F31" s="29"/>
      <c r="G31" s="29"/>
      <c r="H31" s="52"/>
      <c r="I31" s="53">
        <f>IFERROR(I30*0.1,"")</f>
        <v>8400</v>
      </c>
      <c r="J31" s="5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8.5" customHeight="1">
      <c r="A32" s="54" t="s">
        <v>26</v>
      </c>
      <c r="B32" s="55"/>
      <c r="C32" s="55"/>
      <c r="D32" s="55"/>
      <c r="E32" s="55"/>
      <c r="F32" s="55"/>
      <c r="G32" s="55"/>
      <c r="H32" s="56"/>
      <c r="I32" s="57">
        <f>IFERROR(I30*1.1,"")</f>
        <v>92400</v>
      </c>
      <c r="J32" s="5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3.25" customHeight="1">
      <c r="A34" s="25" t="s">
        <v>27</v>
      </c>
      <c r="B34" s="29"/>
      <c r="C34" s="29"/>
      <c r="D34" s="29"/>
      <c r="E34" s="29"/>
      <c r="F34" s="29"/>
      <c r="G34" s="29"/>
      <c r="H34" s="29"/>
      <c r="I34" s="29"/>
      <c r="J34" s="2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75" customHeight="1">
      <c r="A35" s="25" t="s">
        <v>28</v>
      </c>
      <c r="B35" s="26"/>
      <c r="C35" s="58" t="s">
        <v>29</v>
      </c>
      <c r="D35" s="29"/>
      <c r="E35" s="29"/>
      <c r="F35" s="29"/>
      <c r="G35" s="29"/>
      <c r="H35" s="29"/>
      <c r="I35" s="29"/>
      <c r="J35" s="2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75" customHeight="1">
      <c r="A36" s="25" t="s">
        <v>30</v>
      </c>
      <c r="B36" s="26"/>
      <c r="C36" s="59" t="s">
        <v>31</v>
      </c>
      <c r="D36" s="29"/>
      <c r="E36" s="29"/>
      <c r="F36" s="29"/>
      <c r="G36" s="29"/>
      <c r="H36" s="29"/>
      <c r="I36" s="29"/>
      <c r="J36" s="2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75" customHeight="1">
      <c r="A37" s="25" t="s">
        <v>32</v>
      </c>
      <c r="B37" s="26"/>
      <c r="C37" s="60" t="s">
        <v>33</v>
      </c>
      <c r="D37" s="29"/>
      <c r="E37" s="29"/>
      <c r="F37" s="29"/>
      <c r="G37" s="29"/>
      <c r="H37" s="29"/>
      <c r="I37" s="29"/>
      <c r="J37" s="2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61"/>
      <c r="B38" s="61"/>
      <c r="C38" s="61"/>
      <c r="D38" s="61"/>
      <c r="E38" s="61"/>
      <c r="F38" s="61"/>
      <c r="G38" s="61"/>
      <c r="H38" s="61"/>
      <c r="I38" s="61"/>
      <c r="J38" s="1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62" t="s">
        <v>34</v>
      </c>
      <c r="B39" s="26"/>
      <c r="C39" s="62" t="s">
        <v>35</v>
      </c>
      <c r="D39" s="29"/>
      <c r="E39" s="29"/>
      <c r="F39" s="26"/>
      <c r="G39" s="62" t="s">
        <v>36</v>
      </c>
      <c r="H39" s="29"/>
      <c r="I39" s="29"/>
      <c r="J39" s="2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63" t="s">
        <v>37</v>
      </c>
      <c r="B40" s="64"/>
      <c r="C40" s="63" t="s">
        <v>38</v>
      </c>
      <c r="D40" s="65"/>
      <c r="E40" s="65"/>
      <c r="F40" s="64"/>
      <c r="G40" s="66" t="s">
        <v>39</v>
      </c>
      <c r="H40" s="65"/>
      <c r="I40" s="65"/>
      <c r="J40" s="6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67"/>
      <c r="B41" s="68"/>
      <c r="C41" s="67"/>
      <c r="D41" s="69"/>
      <c r="E41" s="69"/>
      <c r="F41" s="68"/>
      <c r="G41" s="67"/>
      <c r="H41" s="69"/>
      <c r="I41" s="69"/>
      <c r="J41" s="68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70"/>
      <c r="B42" s="70"/>
      <c r="C42" s="70"/>
      <c r="D42" s="70"/>
      <c r="E42" s="70"/>
      <c r="F42" s="70"/>
      <c r="G42" s="70"/>
      <c r="H42" s="70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4">
    <mergeCell ref="A1:J1"/>
    <mergeCell ref="I3:J3"/>
    <mergeCell ref="A4:B4"/>
    <mergeCell ref="A5:E6"/>
    <mergeCell ref="A10:B11"/>
    <mergeCell ref="C10:F11"/>
    <mergeCell ref="C12:F13"/>
    <mergeCell ref="A12:B13"/>
    <mergeCell ref="A14:B15"/>
    <mergeCell ref="C14:F15"/>
    <mergeCell ref="D17:F17"/>
    <mergeCell ref="H17:J17"/>
    <mergeCell ref="E18:F18"/>
    <mergeCell ref="G18:J18"/>
    <mergeCell ref="A17:B17"/>
    <mergeCell ref="A20:B20"/>
    <mergeCell ref="C20:F20"/>
    <mergeCell ref="A21:B21"/>
    <mergeCell ref="C21:F21"/>
    <mergeCell ref="A22:B22"/>
    <mergeCell ref="C22:F22"/>
    <mergeCell ref="A26:B26"/>
    <mergeCell ref="A27:B27"/>
    <mergeCell ref="A28:B28"/>
    <mergeCell ref="A23:B23"/>
    <mergeCell ref="C23:F23"/>
    <mergeCell ref="A24:B24"/>
    <mergeCell ref="C24:F24"/>
    <mergeCell ref="A25:B25"/>
    <mergeCell ref="C25:F25"/>
    <mergeCell ref="C26:F26"/>
    <mergeCell ref="C27:F27"/>
    <mergeCell ref="C28:F28"/>
    <mergeCell ref="A29:H29"/>
    <mergeCell ref="I29:J29"/>
    <mergeCell ref="A30:H30"/>
    <mergeCell ref="I30:J30"/>
    <mergeCell ref="I31:J31"/>
    <mergeCell ref="A36:B36"/>
    <mergeCell ref="A37:B37"/>
    <mergeCell ref="A39:B39"/>
    <mergeCell ref="C39:F39"/>
    <mergeCell ref="G39:J39"/>
    <mergeCell ref="A40:B41"/>
    <mergeCell ref="C40:F41"/>
    <mergeCell ref="G40:J41"/>
    <mergeCell ref="A31:H31"/>
    <mergeCell ref="A32:H32"/>
    <mergeCell ref="I32:J32"/>
    <mergeCell ref="A34:J34"/>
    <mergeCell ref="A35:B35"/>
    <mergeCell ref="C36:J36"/>
    <mergeCell ref="C37:J37"/>
    <mergeCell ref="C35:J35"/>
  </mergeCells>
  <conditionalFormatting sqref="B22:B28 A23:A28">
    <cfRule type="containsBlanks" dxfId="0" priority="1">
      <formula>LEN(TRIM(B22))=0</formula>
    </cfRule>
  </conditionalFormatting>
  <conditionalFormatting sqref="C35:J37">
    <cfRule type="containsBlanks" dxfId="1" priority="2">
      <formula>LEN(TRIM(C35))=0</formula>
    </cfRule>
  </conditionalFormatting>
  <conditionalFormatting sqref="I3:J3">
    <cfRule type="containsBlanks" dxfId="1" priority="3">
      <formula>LEN(TRIM(I3))=0</formula>
    </cfRule>
  </conditionalFormatting>
  <conditionalFormatting sqref="H21:H28">
    <cfRule type="containsBlanks" dxfId="0" priority="4">
      <formula>LEN(TRIM(H21))=0</formula>
    </cfRule>
  </conditionalFormatting>
  <conditionalFormatting sqref="D17:F17">
    <cfRule type="containsBlanks" dxfId="1" priority="5">
      <formula>LEN(TRIM(D17))=0</formula>
    </cfRule>
  </conditionalFormatting>
  <printOptions/>
  <pageMargins bottom="0.75" footer="0.0" header="0.0" left="0.7" right="0.7" top="0.75"/>
  <pageSetup paperSize="9" scale="76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57"/>
    <col customWidth="1" min="3" max="3" width="42.86"/>
    <col customWidth="1" min="4" max="4" width="47.14"/>
    <col customWidth="1" min="5" max="5" width="9.57"/>
    <col customWidth="1" min="6" max="8" width="11.0"/>
    <col customWidth="1" min="9" max="9" width="34.86"/>
    <col customWidth="1" min="10" max="10" width="34.71"/>
    <col customWidth="1" min="11" max="11" width="7.71"/>
    <col customWidth="1" min="12" max="17" width="7.86"/>
    <col customWidth="1" min="18" max="18" width="5.86"/>
    <col customWidth="1" min="19" max="19" width="13.29"/>
    <col customWidth="1" min="20" max="20" width="52.71"/>
    <col customWidth="1" min="21" max="26" width="9.57"/>
  </cols>
  <sheetData>
    <row r="1" ht="40.5" customHeight="1">
      <c r="A1" s="71" t="s">
        <v>13</v>
      </c>
      <c r="B1" s="71" t="s">
        <v>40</v>
      </c>
      <c r="C1" s="72" t="s">
        <v>14</v>
      </c>
      <c r="D1" s="72" t="s">
        <v>41</v>
      </c>
      <c r="E1" s="72" t="s">
        <v>15</v>
      </c>
      <c r="F1" s="73" t="s">
        <v>42</v>
      </c>
      <c r="G1" s="73" t="s">
        <v>43</v>
      </c>
      <c r="H1" s="73" t="s">
        <v>44</v>
      </c>
      <c r="I1" s="72" t="s">
        <v>45</v>
      </c>
      <c r="J1" s="72" t="s">
        <v>46</v>
      </c>
      <c r="K1" s="72" t="s">
        <v>47</v>
      </c>
      <c r="L1" s="72" t="s">
        <v>48</v>
      </c>
      <c r="M1" s="72" t="s">
        <v>49</v>
      </c>
      <c r="N1" s="72" t="s">
        <v>50</v>
      </c>
      <c r="O1" s="72" t="s">
        <v>51</v>
      </c>
      <c r="P1" s="72" t="s">
        <v>52</v>
      </c>
      <c r="Q1" s="72"/>
      <c r="R1" s="72" t="s">
        <v>53</v>
      </c>
      <c r="S1" s="72" t="s">
        <v>54</v>
      </c>
      <c r="T1" s="72" t="s">
        <v>36</v>
      </c>
      <c r="U1" s="74"/>
      <c r="V1" s="74"/>
      <c r="W1" s="74"/>
      <c r="X1" s="74"/>
      <c r="Y1" s="74"/>
      <c r="Z1" s="74"/>
    </row>
    <row r="2" ht="65.25" customHeight="1">
      <c r="A2" s="75">
        <v>286938.0</v>
      </c>
      <c r="B2" s="75"/>
      <c r="C2" s="76" t="s">
        <v>55</v>
      </c>
      <c r="D2" s="76" t="s">
        <v>56</v>
      </c>
      <c r="E2" s="76" t="s">
        <v>57</v>
      </c>
      <c r="F2" s="77">
        <v>36000.0</v>
      </c>
      <c r="G2" s="77">
        <f t="shared" ref="G2:G70" si="1">F2*1.1</f>
        <v>39600</v>
      </c>
      <c r="H2" s="77">
        <f t="shared" ref="H2:H70" si="2">F2*0.7</f>
        <v>25200</v>
      </c>
      <c r="I2" s="78" t="s">
        <v>58</v>
      </c>
      <c r="J2" s="78" t="s">
        <v>59</v>
      </c>
      <c r="K2" s="79" t="s">
        <v>60</v>
      </c>
      <c r="L2" s="80">
        <v>13.8</v>
      </c>
      <c r="M2" s="76">
        <v>787.0</v>
      </c>
      <c r="N2" s="76">
        <v>323.0</v>
      </c>
      <c r="O2" s="76">
        <v>628.0</v>
      </c>
      <c r="P2" s="80">
        <v>16.5</v>
      </c>
      <c r="Q2" s="80"/>
      <c r="R2" s="76">
        <v>1.0</v>
      </c>
      <c r="S2" s="79" t="s">
        <v>61</v>
      </c>
      <c r="T2" s="78" t="s">
        <v>62</v>
      </c>
      <c r="U2" s="81"/>
      <c r="V2" s="81"/>
      <c r="W2" s="81"/>
      <c r="X2" s="81"/>
      <c r="Y2" s="81"/>
      <c r="Z2" s="81"/>
    </row>
    <row r="3" ht="12.75" customHeight="1">
      <c r="A3" s="75">
        <v>286945.0</v>
      </c>
      <c r="B3" s="75"/>
      <c r="C3" s="76" t="s">
        <v>63</v>
      </c>
      <c r="D3" s="76"/>
      <c r="E3" s="76" t="s">
        <v>57</v>
      </c>
      <c r="F3" s="77">
        <v>7000.0</v>
      </c>
      <c r="G3" s="77">
        <f t="shared" si="1"/>
        <v>7700</v>
      </c>
      <c r="H3" s="77">
        <f t="shared" si="2"/>
        <v>4900</v>
      </c>
      <c r="I3" s="78" t="s">
        <v>64</v>
      </c>
      <c r="J3" s="78" t="s">
        <v>65</v>
      </c>
      <c r="K3" s="79" t="s">
        <v>60</v>
      </c>
      <c r="L3" s="80">
        <v>11.0</v>
      </c>
      <c r="M3" s="76">
        <v>590.55</v>
      </c>
      <c r="N3" s="76">
        <v>457.2</v>
      </c>
      <c r="O3" s="76">
        <v>279.4</v>
      </c>
      <c r="P3" s="80">
        <v>12.0</v>
      </c>
      <c r="Q3" s="80"/>
      <c r="R3" s="76">
        <v>6.0</v>
      </c>
      <c r="S3" s="79" t="s">
        <v>61</v>
      </c>
      <c r="T3" s="76" t="s">
        <v>66</v>
      </c>
      <c r="U3" s="81"/>
      <c r="V3" s="81"/>
      <c r="W3" s="81"/>
      <c r="X3" s="81"/>
      <c r="Y3" s="81"/>
      <c r="Z3" s="81"/>
    </row>
    <row r="4" ht="65.25" customHeight="1">
      <c r="A4" s="75">
        <v>286952.0</v>
      </c>
      <c r="B4" s="75"/>
      <c r="C4" s="76" t="s">
        <v>55</v>
      </c>
      <c r="D4" s="76" t="s">
        <v>56</v>
      </c>
      <c r="E4" s="76" t="s">
        <v>67</v>
      </c>
      <c r="F4" s="77">
        <v>36000.0</v>
      </c>
      <c r="G4" s="77">
        <f t="shared" si="1"/>
        <v>39600</v>
      </c>
      <c r="H4" s="77">
        <f t="shared" si="2"/>
        <v>25200</v>
      </c>
      <c r="I4" s="78" t="s">
        <v>58</v>
      </c>
      <c r="J4" s="78" t="s">
        <v>59</v>
      </c>
      <c r="K4" s="79" t="s">
        <v>60</v>
      </c>
      <c r="L4" s="80">
        <v>13.8</v>
      </c>
      <c r="M4" s="76">
        <v>787.0</v>
      </c>
      <c r="N4" s="76">
        <v>323.0</v>
      </c>
      <c r="O4" s="76">
        <v>628.0</v>
      </c>
      <c r="P4" s="80">
        <v>16.5</v>
      </c>
      <c r="Q4" s="80"/>
      <c r="R4" s="76">
        <v>1.0</v>
      </c>
      <c r="S4" s="79" t="s">
        <v>61</v>
      </c>
      <c r="T4" s="78" t="s">
        <v>62</v>
      </c>
      <c r="U4" s="81"/>
      <c r="V4" s="81"/>
      <c r="W4" s="81"/>
      <c r="X4" s="81"/>
      <c r="Y4" s="81"/>
      <c r="Z4" s="81"/>
    </row>
    <row r="5" ht="12.75" customHeight="1">
      <c r="A5" s="75">
        <v>286969.0</v>
      </c>
      <c r="B5" s="75"/>
      <c r="C5" s="76" t="s">
        <v>63</v>
      </c>
      <c r="D5" s="76"/>
      <c r="E5" s="76" t="s">
        <v>67</v>
      </c>
      <c r="F5" s="77">
        <v>7000.0</v>
      </c>
      <c r="G5" s="77">
        <f t="shared" si="1"/>
        <v>7700</v>
      </c>
      <c r="H5" s="77">
        <f t="shared" si="2"/>
        <v>4900</v>
      </c>
      <c r="I5" s="78" t="s">
        <v>64</v>
      </c>
      <c r="J5" s="78" t="s">
        <v>65</v>
      </c>
      <c r="K5" s="79" t="s">
        <v>60</v>
      </c>
      <c r="L5" s="80">
        <v>11.0</v>
      </c>
      <c r="M5" s="76">
        <v>590.55</v>
      </c>
      <c r="N5" s="76">
        <v>457.2</v>
      </c>
      <c r="O5" s="76">
        <v>279.4</v>
      </c>
      <c r="P5" s="80">
        <v>12.0</v>
      </c>
      <c r="Q5" s="80"/>
      <c r="R5" s="76">
        <v>6.0</v>
      </c>
      <c r="S5" s="79" t="s">
        <v>61</v>
      </c>
      <c r="T5" s="76" t="s">
        <v>66</v>
      </c>
      <c r="U5" s="81"/>
      <c r="V5" s="81"/>
      <c r="W5" s="81"/>
      <c r="X5" s="81"/>
      <c r="Y5" s="81"/>
      <c r="Z5" s="81"/>
    </row>
    <row r="6" ht="64.5" customHeight="1">
      <c r="A6" s="75">
        <v>287164.0</v>
      </c>
      <c r="B6" s="75"/>
      <c r="C6" s="76" t="s">
        <v>68</v>
      </c>
      <c r="D6" s="76" t="s">
        <v>69</v>
      </c>
      <c r="E6" s="76" t="s">
        <v>70</v>
      </c>
      <c r="F6" s="77">
        <v>88000.0</v>
      </c>
      <c r="G6" s="77">
        <f t="shared" si="1"/>
        <v>96800</v>
      </c>
      <c r="H6" s="77">
        <f t="shared" si="2"/>
        <v>61600</v>
      </c>
      <c r="I6" s="78" t="s">
        <v>71</v>
      </c>
      <c r="J6" s="78" t="s">
        <v>72</v>
      </c>
      <c r="K6" s="79" t="s">
        <v>60</v>
      </c>
      <c r="L6" s="80">
        <v>14.9</v>
      </c>
      <c r="M6" s="76">
        <v>768.0</v>
      </c>
      <c r="N6" s="76">
        <v>737.0</v>
      </c>
      <c r="O6" s="76">
        <v>501.0</v>
      </c>
      <c r="P6" s="80">
        <v>17.15</v>
      </c>
      <c r="Q6" s="80"/>
      <c r="R6" s="76">
        <v>1.0</v>
      </c>
      <c r="S6" s="79" t="s">
        <v>61</v>
      </c>
      <c r="T6" s="78" t="s">
        <v>73</v>
      </c>
      <c r="U6" s="81"/>
      <c r="V6" s="81"/>
      <c r="W6" s="81"/>
      <c r="X6" s="81"/>
      <c r="Y6" s="81"/>
      <c r="Z6" s="81"/>
    </row>
    <row r="7" ht="64.5" customHeight="1">
      <c r="A7" s="79">
        <v>290188.0</v>
      </c>
      <c r="B7" s="75"/>
      <c r="C7" s="76" t="s">
        <v>74</v>
      </c>
      <c r="D7" s="76" t="s">
        <v>75</v>
      </c>
      <c r="E7" s="76" t="s">
        <v>70</v>
      </c>
      <c r="F7" s="77">
        <v>110000.0</v>
      </c>
      <c r="G7" s="77">
        <f t="shared" si="1"/>
        <v>121000</v>
      </c>
      <c r="H7" s="77">
        <f t="shared" si="2"/>
        <v>77000</v>
      </c>
      <c r="I7" s="78" t="s">
        <v>76</v>
      </c>
      <c r="J7" s="78" t="s">
        <v>72</v>
      </c>
      <c r="K7" s="79" t="s">
        <v>60</v>
      </c>
      <c r="L7" s="80">
        <v>24.1</v>
      </c>
      <c r="M7" s="76">
        <v>889.0</v>
      </c>
      <c r="N7" s="76">
        <v>743.0</v>
      </c>
      <c r="O7" s="76">
        <v>781.0</v>
      </c>
      <c r="P7" s="80">
        <v>29.5</v>
      </c>
      <c r="Q7" s="80"/>
      <c r="R7" s="76">
        <v>1.0</v>
      </c>
      <c r="S7" s="79" t="s">
        <v>61</v>
      </c>
      <c r="T7" s="78"/>
      <c r="U7" s="81"/>
      <c r="V7" s="81"/>
      <c r="W7" s="81"/>
      <c r="X7" s="81"/>
      <c r="Y7" s="81"/>
      <c r="Z7" s="81"/>
    </row>
    <row r="8" ht="64.5" customHeight="1">
      <c r="A8" s="79">
        <v>290195.0</v>
      </c>
      <c r="B8" s="75"/>
      <c r="C8" s="76" t="s">
        <v>77</v>
      </c>
      <c r="D8" s="76" t="s">
        <v>78</v>
      </c>
      <c r="E8" s="76" t="s">
        <v>70</v>
      </c>
      <c r="F8" s="77">
        <v>172000.0</v>
      </c>
      <c r="G8" s="77">
        <f t="shared" si="1"/>
        <v>189200</v>
      </c>
      <c r="H8" s="77">
        <f t="shared" si="2"/>
        <v>120400</v>
      </c>
      <c r="I8" s="78" t="s">
        <v>79</v>
      </c>
      <c r="J8" s="78" t="s">
        <v>72</v>
      </c>
      <c r="K8" s="79" t="s">
        <v>60</v>
      </c>
      <c r="L8" s="80">
        <v>36.6</v>
      </c>
      <c r="M8" s="76">
        <v>1543.0</v>
      </c>
      <c r="N8" s="76">
        <v>743.0</v>
      </c>
      <c r="O8" s="76">
        <v>781.0</v>
      </c>
      <c r="P8" s="80">
        <v>43.6</v>
      </c>
      <c r="Q8" s="80"/>
      <c r="R8" s="76">
        <v>1.0</v>
      </c>
      <c r="S8" s="79" t="s">
        <v>61</v>
      </c>
      <c r="T8" s="78"/>
      <c r="U8" s="81"/>
      <c r="V8" s="81"/>
      <c r="W8" s="81"/>
      <c r="X8" s="81"/>
      <c r="Y8" s="81"/>
      <c r="Z8" s="81"/>
    </row>
    <row r="9" ht="64.5" customHeight="1">
      <c r="A9" s="79">
        <v>290201.0</v>
      </c>
      <c r="B9" s="75"/>
      <c r="C9" s="76" t="s">
        <v>80</v>
      </c>
      <c r="D9" s="76" t="s">
        <v>81</v>
      </c>
      <c r="E9" s="76" t="s">
        <v>70</v>
      </c>
      <c r="F9" s="77">
        <v>220000.0</v>
      </c>
      <c r="G9" s="77">
        <f t="shared" si="1"/>
        <v>242000</v>
      </c>
      <c r="H9" s="77">
        <f t="shared" si="2"/>
        <v>154000</v>
      </c>
      <c r="I9" s="78" t="s">
        <v>82</v>
      </c>
      <c r="J9" s="78" t="s">
        <v>72</v>
      </c>
      <c r="K9" s="79" t="s">
        <v>60</v>
      </c>
      <c r="L9" s="80">
        <v>48.5</v>
      </c>
      <c r="M9" s="76">
        <v>2178.0</v>
      </c>
      <c r="N9" s="76">
        <v>743.0</v>
      </c>
      <c r="O9" s="76">
        <v>781.0</v>
      </c>
      <c r="P9" s="80">
        <v>57.5</v>
      </c>
      <c r="Q9" s="80"/>
      <c r="R9" s="76">
        <v>1.0</v>
      </c>
      <c r="S9" s="79" t="s">
        <v>61</v>
      </c>
      <c r="T9" s="78"/>
      <c r="U9" s="81"/>
      <c r="V9" s="81"/>
      <c r="W9" s="81"/>
      <c r="X9" s="81"/>
      <c r="Y9" s="81"/>
      <c r="Z9" s="81"/>
    </row>
    <row r="10" ht="64.5" customHeight="1">
      <c r="A10" s="79">
        <v>287201.0</v>
      </c>
      <c r="B10" s="75"/>
      <c r="C10" s="76" t="s">
        <v>83</v>
      </c>
      <c r="D10" s="76" t="s">
        <v>84</v>
      </c>
      <c r="E10" s="76" t="s">
        <v>70</v>
      </c>
      <c r="F10" s="77">
        <v>120000.0</v>
      </c>
      <c r="G10" s="77">
        <f t="shared" si="1"/>
        <v>132000</v>
      </c>
      <c r="H10" s="77">
        <f t="shared" si="2"/>
        <v>84000</v>
      </c>
      <c r="I10" s="78" t="s">
        <v>85</v>
      </c>
      <c r="J10" s="78" t="s">
        <v>72</v>
      </c>
      <c r="K10" s="79" t="s">
        <v>60</v>
      </c>
      <c r="L10" s="80">
        <v>21.7</v>
      </c>
      <c r="M10" s="76">
        <v>762.0</v>
      </c>
      <c r="N10" s="76">
        <v>730.0</v>
      </c>
      <c r="O10" s="76">
        <v>502.0</v>
      </c>
      <c r="P10" s="80">
        <v>25.3</v>
      </c>
      <c r="Q10" s="80"/>
      <c r="R10" s="76">
        <v>1.0</v>
      </c>
      <c r="S10" s="79" t="s">
        <v>61</v>
      </c>
      <c r="T10" s="78"/>
      <c r="U10" s="81"/>
      <c r="V10" s="81"/>
      <c r="W10" s="81"/>
      <c r="X10" s="81"/>
      <c r="Y10" s="81"/>
      <c r="Z10" s="81"/>
    </row>
    <row r="11" ht="64.5" customHeight="1">
      <c r="A11" s="79">
        <v>287218.0</v>
      </c>
      <c r="B11" s="75"/>
      <c r="C11" s="76" t="s">
        <v>86</v>
      </c>
      <c r="D11" s="76" t="s">
        <v>87</v>
      </c>
      <c r="E11" s="76" t="s">
        <v>70</v>
      </c>
      <c r="F11" s="77">
        <v>190000.0</v>
      </c>
      <c r="G11" s="77">
        <f t="shared" si="1"/>
        <v>209000</v>
      </c>
      <c r="H11" s="77">
        <f t="shared" si="2"/>
        <v>133000</v>
      </c>
      <c r="I11" s="78" t="s">
        <v>88</v>
      </c>
      <c r="J11" s="78" t="s">
        <v>72</v>
      </c>
      <c r="K11" s="79" t="s">
        <v>60</v>
      </c>
      <c r="L11" s="80">
        <v>36.0</v>
      </c>
      <c r="M11" s="76">
        <v>1499.0</v>
      </c>
      <c r="N11" s="76">
        <v>781.0</v>
      </c>
      <c r="O11" s="76">
        <v>502.0</v>
      </c>
      <c r="P11" s="80">
        <v>42.0</v>
      </c>
      <c r="Q11" s="80"/>
      <c r="R11" s="76">
        <v>1.0</v>
      </c>
      <c r="S11" s="79" t="s">
        <v>61</v>
      </c>
      <c r="T11" s="78"/>
      <c r="U11" s="81"/>
      <c r="V11" s="81"/>
      <c r="W11" s="81"/>
      <c r="X11" s="81"/>
      <c r="Y11" s="81"/>
      <c r="Z11" s="81"/>
    </row>
    <row r="12" ht="64.5" customHeight="1">
      <c r="A12" s="75">
        <v>501772.0</v>
      </c>
      <c r="B12" s="75"/>
      <c r="C12" s="76" t="s">
        <v>89</v>
      </c>
      <c r="D12" s="76" t="s">
        <v>90</v>
      </c>
      <c r="E12" s="76" t="s">
        <v>91</v>
      </c>
      <c r="F12" s="77">
        <v>26000.0</v>
      </c>
      <c r="G12" s="77">
        <f t="shared" si="1"/>
        <v>28600</v>
      </c>
      <c r="H12" s="77">
        <f t="shared" si="2"/>
        <v>18200</v>
      </c>
      <c r="I12" s="78" t="s">
        <v>92</v>
      </c>
      <c r="J12" s="78" t="s">
        <v>72</v>
      </c>
      <c r="K12" s="79" t="s">
        <v>60</v>
      </c>
      <c r="L12" s="80">
        <v>6.55</v>
      </c>
      <c r="M12" s="76">
        <v>615.0</v>
      </c>
      <c r="N12" s="76">
        <v>560.0</v>
      </c>
      <c r="O12" s="76">
        <v>815.0</v>
      </c>
      <c r="P12" s="80">
        <v>16.5</v>
      </c>
      <c r="Q12" s="80"/>
      <c r="R12" s="76">
        <v>2.0</v>
      </c>
      <c r="S12" s="79" t="s">
        <v>61</v>
      </c>
      <c r="T12" s="78" t="s">
        <v>93</v>
      </c>
      <c r="U12" s="81"/>
      <c r="V12" s="81"/>
      <c r="W12" s="81"/>
      <c r="X12" s="81"/>
      <c r="Y12" s="81"/>
      <c r="Z12" s="81"/>
    </row>
    <row r="13" ht="64.5" customHeight="1">
      <c r="A13" s="75">
        <v>501758.0</v>
      </c>
      <c r="B13" s="75"/>
      <c r="C13" s="76" t="s">
        <v>89</v>
      </c>
      <c r="D13" s="76" t="s">
        <v>90</v>
      </c>
      <c r="E13" s="76" t="s">
        <v>94</v>
      </c>
      <c r="F13" s="77">
        <v>26000.0</v>
      </c>
      <c r="G13" s="77">
        <f t="shared" si="1"/>
        <v>28600</v>
      </c>
      <c r="H13" s="77">
        <f t="shared" si="2"/>
        <v>18200</v>
      </c>
      <c r="I13" s="78" t="s">
        <v>92</v>
      </c>
      <c r="J13" s="78" t="s">
        <v>72</v>
      </c>
      <c r="K13" s="79" t="s">
        <v>60</v>
      </c>
      <c r="L13" s="80">
        <v>6.55</v>
      </c>
      <c r="M13" s="76">
        <v>615.0</v>
      </c>
      <c r="N13" s="76">
        <v>560.0</v>
      </c>
      <c r="O13" s="76">
        <v>815.0</v>
      </c>
      <c r="P13" s="80">
        <v>16.5</v>
      </c>
      <c r="Q13" s="80"/>
      <c r="R13" s="76">
        <v>2.0</v>
      </c>
      <c r="S13" s="79" t="s">
        <v>61</v>
      </c>
      <c r="T13" s="78" t="s">
        <v>93</v>
      </c>
      <c r="U13" s="81"/>
      <c r="V13" s="81"/>
      <c r="W13" s="81"/>
      <c r="X13" s="81"/>
      <c r="Y13" s="81"/>
      <c r="Z13" s="81"/>
    </row>
    <row r="14" ht="64.5" customHeight="1">
      <c r="A14" s="75">
        <v>501765.0</v>
      </c>
      <c r="B14" s="75"/>
      <c r="C14" s="76" t="s">
        <v>89</v>
      </c>
      <c r="D14" s="76" t="s">
        <v>90</v>
      </c>
      <c r="E14" s="76" t="s">
        <v>95</v>
      </c>
      <c r="F14" s="77">
        <v>26000.0</v>
      </c>
      <c r="G14" s="77">
        <f t="shared" si="1"/>
        <v>28600</v>
      </c>
      <c r="H14" s="77">
        <f t="shared" si="2"/>
        <v>18200</v>
      </c>
      <c r="I14" s="78" t="s">
        <v>92</v>
      </c>
      <c r="J14" s="78" t="s">
        <v>72</v>
      </c>
      <c r="K14" s="79" t="s">
        <v>60</v>
      </c>
      <c r="L14" s="80">
        <v>6.0</v>
      </c>
      <c r="M14" s="76">
        <v>620.0</v>
      </c>
      <c r="N14" s="76">
        <v>570.0</v>
      </c>
      <c r="O14" s="76">
        <v>830.0</v>
      </c>
      <c r="P14" s="80">
        <v>16.5</v>
      </c>
      <c r="Q14" s="80"/>
      <c r="R14" s="76">
        <v>2.0</v>
      </c>
      <c r="S14" s="79" t="s">
        <v>61</v>
      </c>
      <c r="T14" s="78" t="s">
        <v>93</v>
      </c>
      <c r="U14" s="81"/>
      <c r="V14" s="81"/>
      <c r="W14" s="81"/>
      <c r="X14" s="81"/>
      <c r="Y14" s="81"/>
      <c r="Z14" s="81"/>
    </row>
    <row r="15" ht="64.5" customHeight="1">
      <c r="A15" s="75">
        <v>501307.0</v>
      </c>
      <c r="B15" s="75"/>
      <c r="C15" s="76" t="s">
        <v>96</v>
      </c>
      <c r="D15" s="76" t="s">
        <v>97</v>
      </c>
      <c r="E15" s="76" t="s">
        <v>95</v>
      </c>
      <c r="F15" s="77">
        <v>24000.0</v>
      </c>
      <c r="G15" s="77">
        <f t="shared" si="1"/>
        <v>26400</v>
      </c>
      <c r="H15" s="77">
        <f t="shared" si="2"/>
        <v>16800</v>
      </c>
      <c r="I15" s="78" t="s">
        <v>98</v>
      </c>
      <c r="J15" s="78" t="s">
        <v>99</v>
      </c>
      <c r="K15" s="79" t="s">
        <v>60</v>
      </c>
      <c r="L15" s="80">
        <v>5.95</v>
      </c>
      <c r="M15" s="76">
        <v>570.0</v>
      </c>
      <c r="N15" s="76">
        <v>470.0</v>
      </c>
      <c r="O15" s="76">
        <v>460.0</v>
      </c>
      <c r="P15" s="80">
        <v>13.7</v>
      </c>
      <c r="Q15" s="80"/>
      <c r="R15" s="76">
        <v>2.0</v>
      </c>
      <c r="S15" s="79" t="s">
        <v>61</v>
      </c>
      <c r="T15" s="78"/>
      <c r="U15" s="81"/>
      <c r="V15" s="81"/>
      <c r="W15" s="81"/>
      <c r="X15" s="81"/>
      <c r="Y15" s="81"/>
      <c r="Z15" s="81"/>
    </row>
    <row r="16" ht="64.5" customHeight="1">
      <c r="A16" s="75">
        <v>501789.0</v>
      </c>
      <c r="B16" s="75"/>
      <c r="C16" s="76" t="s">
        <v>96</v>
      </c>
      <c r="D16" s="76" t="s">
        <v>97</v>
      </c>
      <c r="E16" s="76" t="s">
        <v>100</v>
      </c>
      <c r="F16" s="77">
        <v>24000.0</v>
      </c>
      <c r="G16" s="77">
        <f t="shared" si="1"/>
        <v>26400</v>
      </c>
      <c r="H16" s="77">
        <f t="shared" si="2"/>
        <v>16800</v>
      </c>
      <c r="I16" s="78" t="s">
        <v>98</v>
      </c>
      <c r="J16" s="78" t="s">
        <v>99</v>
      </c>
      <c r="K16" s="79" t="s">
        <v>60</v>
      </c>
      <c r="L16" s="80">
        <v>5.95</v>
      </c>
      <c r="M16" s="76">
        <v>570.0</v>
      </c>
      <c r="N16" s="76">
        <v>470.0</v>
      </c>
      <c r="O16" s="76">
        <v>460.0</v>
      </c>
      <c r="P16" s="80">
        <v>13.7</v>
      </c>
      <c r="Q16" s="80"/>
      <c r="R16" s="76">
        <v>2.0</v>
      </c>
      <c r="S16" s="79" t="s">
        <v>61</v>
      </c>
      <c r="T16" s="78"/>
      <c r="U16" s="81"/>
      <c r="V16" s="81"/>
      <c r="W16" s="81"/>
      <c r="X16" s="81"/>
      <c r="Y16" s="81"/>
      <c r="Z16" s="81"/>
    </row>
    <row r="17" ht="64.5" customHeight="1">
      <c r="A17" s="75">
        <v>501130.0</v>
      </c>
      <c r="B17" s="75"/>
      <c r="C17" s="76" t="s">
        <v>101</v>
      </c>
      <c r="D17" s="76" t="s">
        <v>102</v>
      </c>
      <c r="E17" s="76" t="s">
        <v>103</v>
      </c>
      <c r="F17" s="77">
        <v>26000.0</v>
      </c>
      <c r="G17" s="77">
        <f t="shared" si="1"/>
        <v>28600</v>
      </c>
      <c r="H17" s="77">
        <f t="shared" si="2"/>
        <v>18200</v>
      </c>
      <c r="I17" s="78" t="s">
        <v>104</v>
      </c>
      <c r="J17" s="78" t="s">
        <v>105</v>
      </c>
      <c r="K17" s="79" t="s">
        <v>60</v>
      </c>
      <c r="L17" s="80">
        <v>5.73</v>
      </c>
      <c r="M17" s="76">
        <v>610.0</v>
      </c>
      <c r="N17" s="76">
        <v>600.0</v>
      </c>
      <c r="O17" s="76">
        <v>620.0</v>
      </c>
      <c r="P17" s="80">
        <v>15.45</v>
      </c>
      <c r="Q17" s="80"/>
      <c r="R17" s="76">
        <v>2.0</v>
      </c>
      <c r="S17" s="79" t="s">
        <v>61</v>
      </c>
      <c r="T17" s="78"/>
      <c r="U17" s="81"/>
      <c r="V17" s="81"/>
      <c r="W17" s="81"/>
      <c r="X17" s="81"/>
      <c r="Y17" s="81"/>
      <c r="Z17" s="81"/>
    </row>
    <row r="18" ht="64.5" customHeight="1">
      <c r="A18" s="75">
        <v>501123.0</v>
      </c>
      <c r="B18" s="75"/>
      <c r="C18" s="76" t="s">
        <v>101</v>
      </c>
      <c r="D18" s="76" t="s">
        <v>102</v>
      </c>
      <c r="E18" s="76" t="s">
        <v>106</v>
      </c>
      <c r="F18" s="77">
        <v>26000.0</v>
      </c>
      <c r="G18" s="77">
        <f t="shared" si="1"/>
        <v>28600</v>
      </c>
      <c r="H18" s="77">
        <f t="shared" si="2"/>
        <v>18200</v>
      </c>
      <c r="I18" s="78" t="s">
        <v>104</v>
      </c>
      <c r="J18" s="78" t="s">
        <v>105</v>
      </c>
      <c r="K18" s="79" t="s">
        <v>60</v>
      </c>
      <c r="L18" s="80">
        <v>5.73</v>
      </c>
      <c r="M18" s="76">
        <v>610.0</v>
      </c>
      <c r="N18" s="76">
        <v>600.0</v>
      </c>
      <c r="O18" s="76">
        <v>620.0</v>
      </c>
      <c r="P18" s="80">
        <v>15.45</v>
      </c>
      <c r="Q18" s="80"/>
      <c r="R18" s="76">
        <v>2.0</v>
      </c>
      <c r="S18" s="79" t="s">
        <v>61</v>
      </c>
      <c r="T18" s="78"/>
      <c r="U18" s="81"/>
      <c r="V18" s="81"/>
      <c r="W18" s="81"/>
      <c r="X18" s="81"/>
      <c r="Y18" s="81"/>
      <c r="Z18" s="81"/>
    </row>
    <row r="19" ht="64.5" customHeight="1">
      <c r="A19" s="75">
        <v>501093.0</v>
      </c>
      <c r="B19" s="75"/>
      <c r="C19" s="76" t="s">
        <v>101</v>
      </c>
      <c r="D19" s="76" t="s">
        <v>102</v>
      </c>
      <c r="E19" s="76" t="s">
        <v>67</v>
      </c>
      <c r="F19" s="77">
        <v>26000.0</v>
      </c>
      <c r="G19" s="77">
        <f t="shared" si="1"/>
        <v>28600</v>
      </c>
      <c r="H19" s="77">
        <f t="shared" si="2"/>
        <v>18200</v>
      </c>
      <c r="I19" s="78" t="s">
        <v>104</v>
      </c>
      <c r="J19" s="78" t="s">
        <v>105</v>
      </c>
      <c r="K19" s="79" t="s">
        <v>60</v>
      </c>
      <c r="L19" s="80">
        <v>5.73</v>
      </c>
      <c r="M19" s="76">
        <v>610.0</v>
      </c>
      <c r="N19" s="76">
        <v>600.0</v>
      </c>
      <c r="O19" s="76">
        <v>620.0</v>
      </c>
      <c r="P19" s="80">
        <v>15.45</v>
      </c>
      <c r="Q19" s="80"/>
      <c r="R19" s="76">
        <v>2.0</v>
      </c>
      <c r="S19" s="79" t="s">
        <v>61</v>
      </c>
      <c r="T19" s="78"/>
      <c r="U19" s="81"/>
      <c r="V19" s="81"/>
      <c r="W19" s="81"/>
      <c r="X19" s="81"/>
      <c r="Y19" s="81"/>
      <c r="Z19" s="81"/>
    </row>
    <row r="20" ht="65.25" customHeight="1">
      <c r="A20" s="79" t="s">
        <v>107</v>
      </c>
      <c r="B20" s="82"/>
      <c r="C20" s="76" t="s">
        <v>108</v>
      </c>
      <c r="D20" s="76" t="s">
        <v>109</v>
      </c>
      <c r="E20" s="76" t="s">
        <v>67</v>
      </c>
      <c r="F20" s="83">
        <v>56000.0</v>
      </c>
      <c r="G20" s="77">
        <f t="shared" si="1"/>
        <v>61600</v>
      </c>
      <c r="H20" s="77">
        <f t="shared" si="2"/>
        <v>39200</v>
      </c>
      <c r="I20" s="78" t="s">
        <v>110</v>
      </c>
      <c r="J20" s="78" t="s">
        <v>111</v>
      </c>
      <c r="K20" s="79" t="s">
        <v>60</v>
      </c>
      <c r="L20" s="84">
        <v>15.4</v>
      </c>
      <c r="M20" s="85">
        <v>813.0</v>
      </c>
      <c r="N20" s="85">
        <v>660.0</v>
      </c>
      <c r="O20" s="85">
        <v>324.0</v>
      </c>
      <c r="P20" s="84">
        <v>18.2</v>
      </c>
      <c r="Q20" s="84"/>
      <c r="R20" s="86">
        <v>1.0</v>
      </c>
      <c r="S20" s="79" t="s">
        <v>61</v>
      </c>
      <c r="T20" s="87" t="s">
        <v>112</v>
      </c>
      <c r="U20" s="88"/>
      <c r="V20" s="88"/>
      <c r="W20" s="88"/>
      <c r="X20" s="88"/>
      <c r="Y20" s="88"/>
      <c r="Z20" s="88"/>
    </row>
    <row r="21" ht="18.75" customHeight="1">
      <c r="A21" s="79" t="s">
        <v>113</v>
      </c>
      <c r="B21" s="82"/>
      <c r="C21" s="76" t="s">
        <v>114</v>
      </c>
      <c r="D21" s="76" t="s">
        <v>115</v>
      </c>
      <c r="E21" s="76" t="s">
        <v>67</v>
      </c>
      <c r="F21" s="83">
        <v>8000.0</v>
      </c>
      <c r="G21" s="77">
        <f t="shared" si="1"/>
        <v>8800</v>
      </c>
      <c r="H21" s="77">
        <f t="shared" si="2"/>
        <v>5600</v>
      </c>
      <c r="I21" s="76" t="s">
        <v>116</v>
      </c>
      <c r="J21" s="78" t="s">
        <v>117</v>
      </c>
      <c r="K21" s="79" t="s">
        <v>60</v>
      </c>
      <c r="L21" s="84">
        <v>11.0</v>
      </c>
      <c r="M21" s="85">
        <v>558.8</v>
      </c>
      <c r="N21" s="85">
        <v>292.1</v>
      </c>
      <c r="O21" s="85">
        <v>292.1</v>
      </c>
      <c r="P21" s="84">
        <v>12.0</v>
      </c>
      <c r="Q21" s="84"/>
      <c r="R21" s="86">
        <v>6.0</v>
      </c>
      <c r="S21" s="79" t="s">
        <v>61</v>
      </c>
      <c r="T21" s="89" t="s">
        <v>118</v>
      </c>
      <c r="U21" s="88"/>
      <c r="V21" s="88"/>
      <c r="W21" s="88"/>
      <c r="X21" s="88"/>
      <c r="Y21" s="88"/>
      <c r="Z21" s="88"/>
    </row>
    <row r="22" ht="18.75" customHeight="1">
      <c r="A22" s="79" t="s">
        <v>119</v>
      </c>
      <c r="B22" s="82"/>
      <c r="C22" s="76" t="s">
        <v>120</v>
      </c>
      <c r="D22" s="76" t="s">
        <v>121</v>
      </c>
      <c r="E22" s="76" t="s">
        <v>67</v>
      </c>
      <c r="F22" s="83">
        <v>5000.0</v>
      </c>
      <c r="G22" s="77">
        <f t="shared" si="1"/>
        <v>5500</v>
      </c>
      <c r="H22" s="77">
        <f t="shared" si="2"/>
        <v>3500</v>
      </c>
      <c r="I22" s="78" t="s">
        <v>122</v>
      </c>
      <c r="J22" s="78" t="s">
        <v>123</v>
      </c>
      <c r="K22" s="79" t="s">
        <v>60</v>
      </c>
      <c r="L22" s="84">
        <v>6.0</v>
      </c>
      <c r="M22" s="85">
        <v>812.8</v>
      </c>
      <c r="N22" s="85">
        <v>406.4</v>
      </c>
      <c r="O22" s="85">
        <v>406.4</v>
      </c>
      <c r="P22" s="84">
        <v>7.0</v>
      </c>
      <c r="Q22" s="84"/>
      <c r="R22" s="86">
        <v>6.0</v>
      </c>
      <c r="S22" s="79" t="s">
        <v>61</v>
      </c>
      <c r="T22" s="90" t="s">
        <v>124</v>
      </c>
      <c r="U22" s="88"/>
      <c r="V22" s="88"/>
      <c r="W22" s="88"/>
      <c r="X22" s="88"/>
      <c r="Y22" s="88"/>
      <c r="Z22" s="88"/>
    </row>
    <row r="23" ht="65.25" customHeight="1">
      <c r="A23" s="79" t="s">
        <v>125</v>
      </c>
      <c r="B23" s="82"/>
      <c r="C23" s="76" t="s">
        <v>126</v>
      </c>
      <c r="D23" s="76" t="s">
        <v>127</v>
      </c>
      <c r="E23" s="86" t="s">
        <v>128</v>
      </c>
      <c r="F23" s="83">
        <v>56000.0</v>
      </c>
      <c r="G23" s="77">
        <f t="shared" si="1"/>
        <v>61600</v>
      </c>
      <c r="H23" s="77">
        <f t="shared" si="2"/>
        <v>39200</v>
      </c>
      <c r="I23" s="78" t="s">
        <v>110</v>
      </c>
      <c r="J23" s="78" t="s">
        <v>111</v>
      </c>
      <c r="K23" s="79" t="s">
        <v>60</v>
      </c>
      <c r="L23" s="84">
        <v>15.4</v>
      </c>
      <c r="M23" s="85">
        <v>813.0</v>
      </c>
      <c r="N23" s="85">
        <v>660.0</v>
      </c>
      <c r="O23" s="85">
        <v>324.0</v>
      </c>
      <c r="P23" s="84">
        <v>18.2</v>
      </c>
      <c r="Q23" s="84"/>
      <c r="R23" s="86">
        <v>1.0</v>
      </c>
      <c r="S23" s="79" t="s">
        <v>61</v>
      </c>
      <c r="T23" s="90" t="s">
        <v>112</v>
      </c>
      <c r="U23" s="88"/>
      <c r="V23" s="88"/>
      <c r="W23" s="88"/>
      <c r="X23" s="88"/>
      <c r="Y23" s="88"/>
      <c r="Z23" s="88"/>
    </row>
    <row r="24" ht="18.75" customHeight="1">
      <c r="A24" s="79" t="s">
        <v>129</v>
      </c>
      <c r="B24" s="82"/>
      <c r="C24" s="76" t="s">
        <v>130</v>
      </c>
      <c r="D24" s="76" t="s">
        <v>131</v>
      </c>
      <c r="E24" s="86" t="s">
        <v>132</v>
      </c>
      <c r="F24" s="83">
        <v>8000.0</v>
      </c>
      <c r="G24" s="77">
        <f t="shared" si="1"/>
        <v>8800</v>
      </c>
      <c r="H24" s="77">
        <f t="shared" si="2"/>
        <v>5600</v>
      </c>
      <c r="I24" s="78" t="s">
        <v>116</v>
      </c>
      <c r="J24" s="78" t="s">
        <v>117</v>
      </c>
      <c r="K24" s="79" t="s">
        <v>60</v>
      </c>
      <c r="L24" s="84">
        <v>11.0</v>
      </c>
      <c r="M24" s="85">
        <v>558.8</v>
      </c>
      <c r="N24" s="85">
        <v>292.1</v>
      </c>
      <c r="O24" s="85">
        <v>292.1</v>
      </c>
      <c r="P24" s="84">
        <v>12.0</v>
      </c>
      <c r="Q24" s="84"/>
      <c r="R24" s="86">
        <v>6.0</v>
      </c>
      <c r="S24" s="79" t="s">
        <v>61</v>
      </c>
      <c r="T24" s="89" t="s">
        <v>118</v>
      </c>
      <c r="U24" s="88"/>
      <c r="V24" s="88"/>
      <c r="W24" s="88"/>
      <c r="X24" s="88"/>
      <c r="Y24" s="88"/>
      <c r="Z24" s="88"/>
    </row>
    <row r="25" ht="18.75" customHeight="1">
      <c r="A25" s="79" t="s">
        <v>133</v>
      </c>
      <c r="B25" s="82"/>
      <c r="C25" s="76" t="s">
        <v>134</v>
      </c>
      <c r="D25" s="76" t="s">
        <v>135</v>
      </c>
      <c r="E25" s="86" t="s">
        <v>136</v>
      </c>
      <c r="F25" s="83">
        <v>5000.0</v>
      </c>
      <c r="G25" s="77">
        <f t="shared" si="1"/>
        <v>5500</v>
      </c>
      <c r="H25" s="77">
        <f t="shared" si="2"/>
        <v>3500</v>
      </c>
      <c r="I25" s="78" t="s">
        <v>122</v>
      </c>
      <c r="J25" s="78" t="s">
        <v>123</v>
      </c>
      <c r="K25" s="79" t="s">
        <v>60</v>
      </c>
      <c r="L25" s="84">
        <v>6.0</v>
      </c>
      <c r="M25" s="85">
        <v>812.8</v>
      </c>
      <c r="N25" s="85">
        <v>406.4</v>
      </c>
      <c r="O25" s="85">
        <v>406.4</v>
      </c>
      <c r="P25" s="84">
        <v>7.0</v>
      </c>
      <c r="Q25" s="84"/>
      <c r="R25" s="86">
        <v>6.0</v>
      </c>
      <c r="S25" s="79" t="s">
        <v>61</v>
      </c>
      <c r="T25" s="90" t="s">
        <v>124</v>
      </c>
      <c r="U25" s="88"/>
      <c r="V25" s="88"/>
      <c r="W25" s="88"/>
      <c r="X25" s="88"/>
      <c r="Y25" s="88"/>
      <c r="Z25" s="88"/>
    </row>
    <row r="26" ht="65.25" customHeight="1">
      <c r="A26" s="79" t="s">
        <v>137</v>
      </c>
      <c r="B26" s="82"/>
      <c r="C26" s="76" t="s">
        <v>138</v>
      </c>
      <c r="D26" s="76" t="s">
        <v>139</v>
      </c>
      <c r="E26" s="82"/>
      <c r="F26" s="83">
        <v>56000.0</v>
      </c>
      <c r="G26" s="77">
        <f t="shared" si="1"/>
        <v>61600</v>
      </c>
      <c r="H26" s="77">
        <f t="shared" si="2"/>
        <v>39200</v>
      </c>
      <c r="I26" s="78" t="s">
        <v>140</v>
      </c>
      <c r="J26" s="78" t="s">
        <v>111</v>
      </c>
      <c r="K26" s="79" t="s">
        <v>60</v>
      </c>
      <c r="L26" s="85">
        <v>17.7</v>
      </c>
      <c r="M26" s="85">
        <v>863.0</v>
      </c>
      <c r="N26" s="85">
        <v>323.0</v>
      </c>
      <c r="O26" s="85">
        <v>660.0</v>
      </c>
      <c r="P26" s="85">
        <v>20.4</v>
      </c>
      <c r="Q26" s="85"/>
      <c r="R26" s="76">
        <v>1.0</v>
      </c>
      <c r="S26" s="79" t="s">
        <v>61</v>
      </c>
      <c r="T26" s="90" t="s">
        <v>141</v>
      </c>
      <c r="U26" s="88"/>
      <c r="V26" s="88"/>
      <c r="W26" s="88"/>
      <c r="X26" s="88"/>
      <c r="Y26" s="88"/>
      <c r="Z26" s="88"/>
    </row>
    <row r="27" ht="18.75" customHeight="1">
      <c r="A27" s="79" t="s">
        <v>142</v>
      </c>
      <c r="B27" s="82"/>
      <c r="C27" s="76" t="s">
        <v>143</v>
      </c>
      <c r="D27" s="76" t="s">
        <v>144</v>
      </c>
      <c r="E27" s="82"/>
      <c r="F27" s="83">
        <v>8000.0</v>
      </c>
      <c r="G27" s="77">
        <f t="shared" si="1"/>
        <v>8800</v>
      </c>
      <c r="H27" s="77">
        <f t="shared" si="2"/>
        <v>5600</v>
      </c>
      <c r="I27" s="78" t="s">
        <v>145</v>
      </c>
      <c r="J27" s="78" t="s">
        <v>117</v>
      </c>
      <c r="K27" s="79" t="s">
        <v>60</v>
      </c>
      <c r="L27" s="85">
        <v>11.0</v>
      </c>
      <c r="M27" s="85">
        <v>558.8</v>
      </c>
      <c r="N27" s="85">
        <v>292.1</v>
      </c>
      <c r="O27" s="85">
        <v>292.1</v>
      </c>
      <c r="P27" s="85">
        <v>12.0</v>
      </c>
      <c r="Q27" s="85"/>
      <c r="R27" s="76">
        <v>6.0</v>
      </c>
      <c r="S27" s="79" t="s">
        <v>61</v>
      </c>
      <c r="T27" s="89" t="s">
        <v>118</v>
      </c>
      <c r="U27" s="88"/>
      <c r="V27" s="88"/>
      <c r="W27" s="88"/>
      <c r="X27" s="88"/>
      <c r="Y27" s="88"/>
      <c r="Z27" s="88"/>
    </row>
    <row r="28" ht="18.75" customHeight="1">
      <c r="A28" s="79" t="s">
        <v>146</v>
      </c>
      <c r="B28" s="82"/>
      <c r="C28" s="76" t="s">
        <v>147</v>
      </c>
      <c r="D28" s="76" t="s">
        <v>148</v>
      </c>
      <c r="E28" s="82"/>
      <c r="F28" s="83">
        <v>5000.0</v>
      </c>
      <c r="G28" s="77">
        <f t="shared" si="1"/>
        <v>5500</v>
      </c>
      <c r="H28" s="77">
        <f t="shared" si="2"/>
        <v>3500</v>
      </c>
      <c r="I28" s="78" t="s">
        <v>149</v>
      </c>
      <c r="J28" s="78" t="s">
        <v>123</v>
      </c>
      <c r="K28" s="79" t="s">
        <v>60</v>
      </c>
      <c r="L28" s="85">
        <v>9.0</v>
      </c>
      <c r="M28" s="85">
        <v>812.8</v>
      </c>
      <c r="N28" s="85">
        <v>406.4</v>
      </c>
      <c r="O28" s="85">
        <v>406.4</v>
      </c>
      <c r="P28" s="85">
        <v>10.0</v>
      </c>
      <c r="Q28" s="85"/>
      <c r="R28" s="76">
        <v>8.0</v>
      </c>
      <c r="S28" s="79" t="s">
        <v>61</v>
      </c>
      <c r="T28" s="90" t="s">
        <v>124</v>
      </c>
      <c r="U28" s="88"/>
      <c r="V28" s="88"/>
      <c r="W28" s="88"/>
      <c r="X28" s="88"/>
      <c r="Y28" s="88"/>
      <c r="Z28" s="88"/>
    </row>
    <row r="29" ht="65.25" customHeight="1">
      <c r="A29" s="75">
        <v>286679.0</v>
      </c>
      <c r="B29" s="82"/>
      <c r="C29" s="76" t="s">
        <v>150</v>
      </c>
      <c r="D29" s="76" t="s">
        <v>151</v>
      </c>
      <c r="E29" s="82"/>
      <c r="F29" s="83">
        <v>56000.0</v>
      </c>
      <c r="G29" s="77">
        <f t="shared" si="1"/>
        <v>61600</v>
      </c>
      <c r="H29" s="77">
        <f t="shared" si="2"/>
        <v>39200</v>
      </c>
      <c r="I29" s="78" t="s">
        <v>140</v>
      </c>
      <c r="J29" s="78" t="s">
        <v>111</v>
      </c>
      <c r="K29" s="79" t="s">
        <v>60</v>
      </c>
      <c r="L29" s="85">
        <v>17.7</v>
      </c>
      <c r="M29" s="85">
        <v>863.0</v>
      </c>
      <c r="N29" s="85">
        <v>323.0</v>
      </c>
      <c r="O29" s="85">
        <v>660.0</v>
      </c>
      <c r="P29" s="85">
        <v>20.4</v>
      </c>
      <c r="Q29" s="85"/>
      <c r="R29" s="76">
        <v>1.0</v>
      </c>
      <c r="S29" s="79" t="s">
        <v>61</v>
      </c>
      <c r="T29" s="90" t="s">
        <v>141</v>
      </c>
      <c r="U29" s="88"/>
      <c r="V29" s="88"/>
      <c r="W29" s="88"/>
      <c r="X29" s="88"/>
      <c r="Y29" s="88"/>
      <c r="Z29" s="88"/>
    </row>
    <row r="30" ht="18.75" customHeight="1">
      <c r="A30" s="75">
        <v>286891.0</v>
      </c>
      <c r="B30" s="82"/>
      <c r="C30" s="76" t="s">
        <v>152</v>
      </c>
      <c r="D30" s="76" t="s">
        <v>153</v>
      </c>
      <c r="E30" s="82"/>
      <c r="F30" s="83">
        <v>8000.0</v>
      </c>
      <c r="G30" s="77">
        <f t="shared" si="1"/>
        <v>8800</v>
      </c>
      <c r="H30" s="77">
        <f t="shared" si="2"/>
        <v>5600</v>
      </c>
      <c r="I30" s="78" t="s">
        <v>145</v>
      </c>
      <c r="J30" s="78" t="s">
        <v>117</v>
      </c>
      <c r="K30" s="79" t="s">
        <v>60</v>
      </c>
      <c r="L30" s="85">
        <v>11.0</v>
      </c>
      <c r="M30" s="85">
        <v>558.8</v>
      </c>
      <c r="N30" s="85">
        <v>292.1</v>
      </c>
      <c r="O30" s="85">
        <v>292.1</v>
      </c>
      <c r="P30" s="85">
        <v>12.0</v>
      </c>
      <c r="Q30" s="85"/>
      <c r="R30" s="76">
        <v>6.0</v>
      </c>
      <c r="S30" s="79" t="s">
        <v>61</v>
      </c>
      <c r="T30" s="89" t="s">
        <v>118</v>
      </c>
      <c r="U30" s="88"/>
      <c r="V30" s="88"/>
      <c r="W30" s="88"/>
      <c r="X30" s="88"/>
      <c r="Y30" s="88"/>
      <c r="Z30" s="88"/>
    </row>
    <row r="31" ht="18.75" customHeight="1">
      <c r="A31" s="75">
        <v>286884.0</v>
      </c>
      <c r="B31" s="82"/>
      <c r="C31" s="76" t="s">
        <v>154</v>
      </c>
      <c r="D31" s="76" t="s">
        <v>155</v>
      </c>
      <c r="E31" s="82"/>
      <c r="F31" s="83">
        <v>5000.0</v>
      </c>
      <c r="G31" s="77">
        <f t="shared" si="1"/>
        <v>5500</v>
      </c>
      <c r="H31" s="77">
        <f t="shared" si="2"/>
        <v>3500</v>
      </c>
      <c r="I31" s="78" t="s">
        <v>149</v>
      </c>
      <c r="J31" s="78" t="s">
        <v>123</v>
      </c>
      <c r="K31" s="79" t="s">
        <v>60</v>
      </c>
      <c r="L31" s="85">
        <v>9.0</v>
      </c>
      <c r="M31" s="85">
        <v>812.8</v>
      </c>
      <c r="N31" s="85">
        <v>406.4</v>
      </c>
      <c r="O31" s="85">
        <v>406.4</v>
      </c>
      <c r="P31" s="85">
        <v>10.0</v>
      </c>
      <c r="Q31" s="85"/>
      <c r="R31" s="76">
        <v>8.0</v>
      </c>
      <c r="S31" s="79" t="s">
        <v>61</v>
      </c>
      <c r="T31" s="90" t="s">
        <v>124</v>
      </c>
      <c r="U31" s="88"/>
      <c r="V31" s="88"/>
      <c r="W31" s="88"/>
      <c r="X31" s="88"/>
      <c r="Y31" s="88"/>
      <c r="Z31" s="88"/>
    </row>
    <row r="32" ht="65.25" customHeight="1">
      <c r="A32" s="79" t="s">
        <v>156</v>
      </c>
      <c r="B32" s="82"/>
      <c r="C32" s="76" t="s">
        <v>157</v>
      </c>
      <c r="D32" s="76" t="s">
        <v>158</v>
      </c>
      <c r="E32" s="82"/>
      <c r="F32" s="83">
        <v>39000.0</v>
      </c>
      <c r="G32" s="77">
        <f t="shared" si="1"/>
        <v>42900</v>
      </c>
      <c r="H32" s="77">
        <f t="shared" si="2"/>
        <v>27300</v>
      </c>
      <c r="I32" s="78" t="s">
        <v>159</v>
      </c>
      <c r="J32" s="78" t="s">
        <v>111</v>
      </c>
      <c r="K32" s="79" t="s">
        <v>60</v>
      </c>
      <c r="L32" s="84">
        <v>9.7</v>
      </c>
      <c r="M32" s="91">
        <v>616.0</v>
      </c>
      <c r="N32" s="91">
        <v>572.0</v>
      </c>
      <c r="O32" s="91">
        <v>559.0</v>
      </c>
      <c r="P32" s="84">
        <v>11.65</v>
      </c>
      <c r="Q32" s="84"/>
      <c r="R32" s="76">
        <v>1.0</v>
      </c>
      <c r="S32" s="79" t="s">
        <v>61</v>
      </c>
      <c r="T32" s="90" t="s">
        <v>160</v>
      </c>
      <c r="U32" s="88"/>
      <c r="V32" s="88"/>
      <c r="W32" s="88"/>
      <c r="X32" s="88"/>
      <c r="Y32" s="88"/>
      <c r="Z32" s="88"/>
    </row>
    <row r="33" ht="65.25" customHeight="1">
      <c r="A33" s="79">
        <v>294919.0</v>
      </c>
      <c r="B33" s="82"/>
      <c r="C33" s="76" t="s">
        <v>161</v>
      </c>
      <c r="D33" s="76" t="s">
        <v>162</v>
      </c>
      <c r="E33" s="82"/>
      <c r="F33" s="83">
        <v>39000.0</v>
      </c>
      <c r="G33" s="77">
        <f t="shared" si="1"/>
        <v>42900</v>
      </c>
      <c r="H33" s="77">
        <f t="shared" si="2"/>
        <v>27300</v>
      </c>
      <c r="I33" s="78" t="s">
        <v>159</v>
      </c>
      <c r="J33" s="78" t="s">
        <v>111</v>
      </c>
      <c r="K33" s="79" t="s">
        <v>60</v>
      </c>
      <c r="L33" s="84">
        <v>9.7</v>
      </c>
      <c r="M33" s="91">
        <v>616.0</v>
      </c>
      <c r="N33" s="91">
        <v>572.0</v>
      </c>
      <c r="O33" s="91">
        <v>559.0</v>
      </c>
      <c r="P33" s="84">
        <v>11.65</v>
      </c>
      <c r="Q33" s="84"/>
      <c r="R33" s="76">
        <v>1.0</v>
      </c>
      <c r="S33" s="79" t="s">
        <v>61</v>
      </c>
      <c r="T33" s="90" t="s">
        <v>160</v>
      </c>
      <c r="U33" s="88"/>
      <c r="V33" s="88"/>
      <c r="W33" s="88"/>
      <c r="X33" s="88"/>
      <c r="Y33" s="88"/>
      <c r="Z33" s="88"/>
    </row>
    <row r="34" ht="65.25" customHeight="1">
      <c r="A34" s="79" t="s">
        <v>163</v>
      </c>
      <c r="B34" s="82"/>
      <c r="C34" s="76" t="s">
        <v>164</v>
      </c>
      <c r="D34" s="76" t="s">
        <v>165</v>
      </c>
      <c r="E34" s="82"/>
      <c r="F34" s="83">
        <v>39000.0</v>
      </c>
      <c r="G34" s="77">
        <f t="shared" si="1"/>
        <v>42900</v>
      </c>
      <c r="H34" s="77">
        <f t="shared" si="2"/>
        <v>27300</v>
      </c>
      <c r="I34" s="78" t="s">
        <v>159</v>
      </c>
      <c r="J34" s="78" t="s">
        <v>111</v>
      </c>
      <c r="K34" s="79" t="s">
        <v>60</v>
      </c>
      <c r="L34" s="84">
        <v>9.7</v>
      </c>
      <c r="M34" s="91">
        <v>616.0</v>
      </c>
      <c r="N34" s="91">
        <v>572.0</v>
      </c>
      <c r="O34" s="91">
        <v>559.0</v>
      </c>
      <c r="P34" s="84">
        <v>11.65</v>
      </c>
      <c r="Q34" s="84"/>
      <c r="R34" s="76">
        <v>1.0</v>
      </c>
      <c r="S34" s="79" t="s">
        <v>61</v>
      </c>
      <c r="T34" s="90" t="s">
        <v>160</v>
      </c>
      <c r="U34" s="88"/>
      <c r="V34" s="88"/>
      <c r="W34" s="88"/>
      <c r="X34" s="88"/>
      <c r="Y34" s="88"/>
      <c r="Z34" s="88"/>
    </row>
    <row r="35" ht="65.25" customHeight="1">
      <c r="A35" s="79" t="s">
        <v>166</v>
      </c>
      <c r="B35" s="82"/>
      <c r="C35" s="76" t="s">
        <v>167</v>
      </c>
      <c r="D35" s="76" t="s">
        <v>168</v>
      </c>
      <c r="E35" s="82"/>
      <c r="F35" s="83">
        <v>36000.0</v>
      </c>
      <c r="G35" s="77">
        <f t="shared" si="1"/>
        <v>39600</v>
      </c>
      <c r="H35" s="77">
        <f t="shared" si="2"/>
        <v>25200</v>
      </c>
      <c r="I35" s="78" t="s">
        <v>169</v>
      </c>
      <c r="J35" s="78" t="s">
        <v>111</v>
      </c>
      <c r="K35" s="79" t="s">
        <v>60</v>
      </c>
      <c r="L35" s="84">
        <v>12.7</v>
      </c>
      <c r="M35" s="91">
        <v>603.0</v>
      </c>
      <c r="N35" s="91">
        <v>845.0</v>
      </c>
      <c r="O35" s="91">
        <v>578.0</v>
      </c>
      <c r="P35" s="84">
        <v>16.3</v>
      </c>
      <c r="Q35" s="84"/>
      <c r="R35" s="76">
        <v>1.0</v>
      </c>
      <c r="S35" s="79" t="s">
        <v>61</v>
      </c>
      <c r="T35" s="90" t="s">
        <v>170</v>
      </c>
      <c r="U35" s="88"/>
      <c r="V35" s="88"/>
      <c r="W35" s="88"/>
      <c r="X35" s="88"/>
      <c r="Y35" s="88"/>
      <c r="Z35" s="88"/>
    </row>
    <row r="36" ht="65.25" customHeight="1">
      <c r="A36" s="79" t="s">
        <v>171</v>
      </c>
      <c r="B36" s="82"/>
      <c r="C36" s="76" t="s">
        <v>172</v>
      </c>
      <c r="D36" s="76" t="s">
        <v>173</v>
      </c>
      <c r="E36" s="82"/>
      <c r="F36" s="83">
        <v>36000.0</v>
      </c>
      <c r="G36" s="77">
        <f t="shared" si="1"/>
        <v>39600</v>
      </c>
      <c r="H36" s="77">
        <f t="shared" si="2"/>
        <v>25200</v>
      </c>
      <c r="I36" s="78" t="s">
        <v>169</v>
      </c>
      <c r="J36" s="78" t="s">
        <v>111</v>
      </c>
      <c r="K36" s="79" t="s">
        <v>60</v>
      </c>
      <c r="L36" s="84">
        <v>12.7</v>
      </c>
      <c r="M36" s="91">
        <v>603.0</v>
      </c>
      <c r="N36" s="91">
        <v>845.0</v>
      </c>
      <c r="O36" s="91">
        <v>578.0</v>
      </c>
      <c r="P36" s="84">
        <v>16.3</v>
      </c>
      <c r="Q36" s="84"/>
      <c r="R36" s="76">
        <v>1.0</v>
      </c>
      <c r="S36" s="79" t="s">
        <v>61</v>
      </c>
      <c r="T36" s="90" t="s">
        <v>170</v>
      </c>
      <c r="U36" s="88"/>
      <c r="V36" s="88"/>
      <c r="W36" s="88"/>
      <c r="X36" s="88"/>
      <c r="Y36" s="88"/>
      <c r="Z36" s="88"/>
    </row>
    <row r="37" ht="65.25" customHeight="1">
      <c r="A37" s="79" t="s">
        <v>174</v>
      </c>
      <c r="B37" s="82"/>
      <c r="C37" s="76" t="s">
        <v>175</v>
      </c>
      <c r="D37" s="76" t="s">
        <v>176</v>
      </c>
      <c r="E37" s="82"/>
      <c r="F37" s="83">
        <v>36000.0</v>
      </c>
      <c r="G37" s="77">
        <f t="shared" si="1"/>
        <v>39600</v>
      </c>
      <c r="H37" s="77">
        <f t="shared" si="2"/>
        <v>25200</v>
      </c>
      <c r="I37" s="78" t="s">
        <v>169</v>
      </c>
      <c r="J37" s="78" t="s">
        <v>111</v>
      </c>
      <c r="K37" s="79" t="s">
        <v>60</v>
      </c>
      <c r="L37" s="84">
        <v>12.7</v>
      </c>
      <c r="M37" s="91">
        <v>603.0</v>
      </c>
      <c r="N37" s="91">
        <v>845.0</v>
      </c>
      <c r="O37" s="91">
        <v>578.0</v>
      </c>
      <c r="P37" s="84">
        <v>16.3</v>
      </c>
      <c r="Q37" s="84"/>
      <c r="R37" s="76">
        <v>1.0</v>
      </c>
      <c r="S37" s="79" t="s">
        <v>61</v>
      </c>
      <c r="T37" s="90" t="s">
        <v>170</v>
      </c>
      <c r="U37" s="88"/>
      <c r="V37" s="88"/>
      <c r="W37" s="88"/>
      <c r="X37" s="88"/>
      <c r="Y37" s="88"/>
      <c r="Z37" s="88"/>
    </row>
    <row r="38" ht="65.25" customHeight="1">
      <c r="A38" s="79" t="s">
        <v>177</v>
      </c>
      <c r="B38" s="82"/>
      <c r="C38" s="76" t="s">
        <v>178</v>
      </c>
      <c r="D38" s="76" t="s">
        <v>179</v>
      </c>
      <c r="E38" s="82"/>
      <c r="F38" s="83">
        <v>48000.0</v>
      </c>
      <c r="G38" s="77">
        <f t="shared" si="1"/>
        <v>52800</v>
      </c>
      <c r="H38" s="77">
        <f t="shared" si="2"/>
        <v>33600</v>
      </c>
      <c r="I38" s="78" t="s">
        <v>180</v>
      </c>
      <c r="J38" s="78" t="s">
        <v>111</v>
      </c>
      <c r="K38" s="79" t="s">
        <v>60</v>
      </c>
      <c r="L38" s="84">
        <v>11.2</v>
      </c>
      <c r="M38" s="91">
        <v>855.0</v>
      </c>
      <c r="N38" s="91">
        <v>670.0</v>
      </c>
      <c r="O38" s="91">
        <v>340.0</v>
      </c>
      <c r="P38" s="84">
        <v>13.7</v>
      </c>
      <c r="Q38" s="84"/>
      <c r="R38" s="76">
        <v>1.0</v>
      </c>
      <c r="S38" s="79" t="s">
        <v>61</v>
      </c>
      <c r="T38" s="90" t="s">
        <v>181</v>
      </c>
      <c r="U38" s="88"/>
      <c r="V38" s="88"/>
      <c r="W38" s="88"/>
      <c r="X38" s="88"/>
      <c r="Y38" s="88"/>
      <c r="Z38" s="88"/>
    </row>
    <row r="39" ht="65.25" customHeight="1">
      <c r="A39" s="79" t="s">
        <v>182</v>
      </c>
      <c r="B39" s="82"/>
      <c r="C39" s="76" t="s">
        <v>183</v>
      </c>
      <c r="D39" s="76" t="s">
        <v>184</v>
      </c>
      <c r="E39" s="82"/>
      <c r="F39" s="83">
        <v>48000.0</v>
      </c>
      <c r="G39" s="77">
        <f t="shared" si="1"/>
        <v>52800</v>
      </c>
      <c r="H39" s="77">
        <f t="shared" si="2"/>
        <v>33600</v>
      </c>
      <c r="I39" s="78" t="s">
        <v>180</v>
      </c>
      <c r="J39" s="78" t="s">
        <v>111</v>
      </c>
      <c r="K39" s="79" t="s">
        <v>60</v>
      </c>
      <c r="L39" s="84">
        <v>11.2</v>
      </c>
      <c r="M39" s="91">
        <v>855.0</v>
      </c>
      <c r="N39" s="91">
        <v>670.0</v>
      </c>
      <c r="O39" s="91">
        <v>340.0</v>
      </c>
      <c r="P39" s="84">
        <v>13.7</v>
      </c>
      <c r="Q39" s="84"/>
      <c r="R39" s="76">
        <v>1.0</v>
      </c>
      <c r="S39" s="79" t="s">
        <v>61</v>
      </c>
      <c r="T39" s="90" t="s">
        <v>181</v>
      </c>
      <c r="U39" s="88"/>
      <c r="V39" s="88"/>
      <c r="W39" s="88"/>
      <c r="X39" s="88"/>
      <c r="Y39" s="88"/>
      <c r="Z39" s="88"/>
    </row>
    <row r="40" ht="65.25" customHeight="1">
      <c r="A40" s="79">
        <v>287140.0</v>
      </c>
      <c r="B40" s="82"/>
      <c r="C40" s="76" t="s">
        <v>185</v>
      </c>
      <c r="D40" s="76" t="s">
        <v>186</v>
      </c>
      <c r="E40" s="82"/>
      <c r="F40" s="83">
        <v>59000.0</v>
      </c>
      <c r="G40" s="77">
        <f t="shared" si="1"/>
        <v>64900</v>
      </c>
      <c r="H40" s="77">
        <f t="shared" si="2"/>
        <v>41300</v>
      </c>
      <c r="I40" s="78" t="s">
        <v>187</v>
      </c>
      <c r="J40" s="78" t="s">
        <v>188</v>
      </c>
      <c r="K40" s="79" t="s">
        <v>60</v>
      </c>
      <c r="L40" s="84">
        <v>13.5</v>
      </c>
      <c r="M40" s="91">
        <v>629.0</v>
      </c>
      <c r="N40" s="91">
        <v>603.0</v>
      </c>
      <c r="O40" s="91">
        <v>559.0</v>
      </c>
      <c r="P40" s="84">
        <v>16.2</v>
      </c>
      <c r="Q40" s="84"/>
      <c r="R40" s="76">
        <v>1.0</v>
      </c>
      <c r="S40" s="79" t="s">
        <v>61</v>
      </c>
      <c r="T40" s="90" t="s">
        <v>189</v>
      </c>
      <c r="U40" s="88"/>
      <c r="V40" s="88"/>
      <c r="W40" s="88"/>
      <c r="X40" s="88"/>
      <c r="Y40" s="88"/>
      <c r="Z40" s="88"/>
    </row>
    <row r="41" ht="65.25" customHeight="1">
      <c r="A41" s="79">
        <v>287157.0</v>
      </c>
      <c r="B41" s="82"/>
      <c r="C41" s="76" t="s">
        <v>190</v>
      </c>
      <c r="D41" s="76" t="s">
        <v>191</v>
      </c>
      <c r="E41" s="82"/>
      <c r="F41" s="83">
        <v>59000.0</v>
      </c>
      <c r="G41" s="77">
        <f t="shared" si="1"/>
        <v>64900</v>
      </c>
      <c r="H41" s="77">
        <f t="shared" si="2"/>
        <v>41300</v>
      </c>
      <c r="I41" s="78" t="s">
        <v>187</v>
      </c>
      <c r="J41" s="78" t="s">
        <v>188</v>
      </c>
      <c r="K41" s="79" t="s">
        <v>60</v>
      </c>
      <c r="L41" s="84">
        <v>13.5</v>
      </c>
      <c r="M41" s="91">
        <v>629.0</v>
      </c>
      <c r="N41" s="91">
        <v>603.0</v>
      </c>
      <c r="O41" s="91">
        <v>559.0</v>
      </c>
      <c r="P41" s="84">
        <v>16.2</v>
      </c>
      <c r="Q41" s="84"/>
      <c r="R41" s="76">
        <v>1.0</v>
      </c>
      <c r="S41" s="79" t="s">
        <v>61</v>
      </c>
      <c r="T41" s="90" t="s">
        <v>189</v>
      </c>
      <c r="U41" s="88"/>
      <c r="V41" s="88"/>
      <c r="W41" s="88"/>
      <c r="X41" s="88"/>
      <c r="Y41" s="88"/>
      <c r="Z41" s="88"/>
    </row>
    <row r="42" ht="65.25" customHeight="1">
      <c r="A42" s="79" t="s">
        <v>192</v>
      </c>
      <c r="B42" s="82"/>
      <c r="C42" s="76" t="s">
        <v>193</v>
      </c>
      <c r="D42" s="76" t="s">
        <v>194</v>
      </c>
      <c r="E42" s="82"/>
      <c r="F42" s="83">
        <v>59000.0</v>
      </c>
      <c r="G42" s="77">
        <f t="shared" si="1"/>
        <v>64900</v>
      </c>
      <c r="H42" s="77">
        <f t="shared" si="2"/>
        <v>41300</v>
      </c>
      <c r="I42" s="78" t="s">
        <v>187</v>
      </c>
      <c r="J42" s="78" t="s">
        <v>195</v>
      </c>
      <c r="K42" s="79" t="s">
        <v>60</v>
      </c>
      <c r="L42" s="84">
        <v>13.5</v>
      </c>
      <c r="M42" s="91">
        <v>629.0</v>
      </c>
      <c r="N42" s="91">
        <v>603.0</v>
      </c>
      <c r="O42" s="91">
        <v>559.0</v>
      </c>
      <c r="P42" s="84">
        <v>16.2</v>
      </c>
      <c r="Q42" s="84"/>
      <c r="R42" s="76">
        <v>1.0</v>
      </c>
      <c r="S42" s="79" t="s">
        <v>61</v>
      </c>
      <c r="T42" s="90" t="s">
        <v>189</v>
      </c>
      <c r="U42" s="88"/>
      <c r="V42" s="88"/>
      <c r="W42" s="88"/>
      <c r="X42" s="88"/>
      <c r="Y42" s="88"/>
      <c r="Z42" s="88"/>
    </row>
    <row r="43" ht="65.25" customHeight="1">
      <c r="A43" s="79" t="s">
        <v>196</v>
      </c>
      <c r="B43" s="82"/>
      <c r="C43" s="76" t="s">
        <v>197</v>
      </c>
      <c r="D43" s="76" t="s">
        <v>198</v>
      </c>
      <c r="E43" s="82"/>
      <c r="F43" s="83">
        <v>59000.0</v>
      </c>
      <c r="G43" s="77">
        <f t="shared" si="1"/>
        <v>64900</v>
      </c>
      <c r="H43" s="77">
        <f t="shared" si="2"/>
        <v>41300</v>
      </c>
      <c r="I43" s="78" t="s">
        <v>187</v>
      </c>
      <c r="J43" s="78" t="s">
        <v>195</v>
      </c>
      <c r="K43" s="79" t="s">
        <v>60</v>
      </c>
      <c r="L43" s="84">
        <v>13.5</v>
      </c>
      <c r="M43" s="91">
        <v>629.0</v>
      </c>
      <c r="N43" s="91">
        <v>603.0</v>
      </c>
      <c r="O43" s="91">
        <v>559.0</v>
      </c>
      <c r="P43" s="84">
        <v>16.2</v>
      </c>
      <c r="Q43" s="84"/>
      <c r="R43" s="76">
        <v>1.0</v>
      </c>
      <c r="S43" s="79" t="s">
        <v>61</v>
      </c>
      <c r="T43" s="90" t="s">
        <v>189</v>
      </c>
      <c r="U43" s="88"/>
      <c r="V43" s="88"/>
      <c r="W43" s="88"/>
      <c r="X43" s="88"/>
      <c r="Y43" s="88"/>
      <c r="Z43" s="88"/>
    </row>
    <row r="44" ht="65.25" customHeight="1">
      <c r="A44" s="79" t="s">
        <v>199</v>
      </c>
      <c r="B44" s="82"/>
      <c r="C44" s="76" t="s">
        <v>200</v>
      </c>
      <c r="D44" s="76" t="s">
        <v>201</v>
      </c>
      <c r="E44" s="82"/>
      <c r="F44" s="83">
        <v>32000.0</v>
      </c>
      <c r="G44" s="77">
        <f t="shared" si="1"/>
        <v>35200</v>
      </c>
      <c r="H44" s="77">
        <f t="shared" si="2"/>
        <v>22400</v>
      </c>
      <c r="I44" s="78" t="s">
        <v>202</v>
      </c>
      <c r="J44" s="78" t="s">
        <v>203</v>
      </c>
      <c r="K44" s="79" t="s">
        <v>60</v>
      </c>
      <c r="L44" s="84">
        <v>6.0</v>
      </c>
      <c r="M44" s="91">
        <v>527.0</v>
      </c>
      <c r="N44" s="91">
        <v>483.0</v>
      </c>
      <c r="O44" s="91">
        <v>813.0</v>
      </c>
      <c r="P44" s="84">
        <v>13.6</v>
      </c>
      <c r="Q44" s="84"/>
      <c r="R44" s="76">
        <v>1.0</v>
      </c>
      <c r="S44" s="92" t="s">
        <v>204</v>
      </c>
      <c r="T44" s="82"/>
      <c r="U44" s="88"/>
      <c r="V44" s="88"/>
      <c r="W44" s="88"/>
      <c r="X44" s="88"/>
      <c r="Y44" s="88"/>
      <c r="Z44" s="88"/>
    </row>
    <row r="45" ht="65.25" customHeight="1">
      <c r="A45" s="79" t="s">
        <v>205</v>
      </c>
      <c r="B45" s="82"/>
      <c r="C45" s="76" t="s">
        <v>206</v>
      </c>
      <c r="D45" s="76" t="s">
        <v>207</v>
      </c>
      <c r="E45" s="82"/>
      <c r="F45" s="83">
        <v>32000.0</v>
      </c>
      <c r="G45" s="77">
        <f t="shared" si="1"/>
        <v>35200</v>
      </c>
      <c r="H45" s="77">
        <f t="shared" si="2"/>
        <v>22400</v>
      </c>
      <c r="I45" s="78" t="s">
        <v>202</v>
      </c>
      <c r="J45" s="78" t="s">
        <v>203</v>
      </c>
      <c r="K45" s="79" t="s">
        <v>60</v>
      </c>
      <c r="L45" s="84">
        <v>6.0</v>
      </c>
      <c r="M45" s="91">
        <v>527.0</v>
      </c>
      <c r="N45" s="91">
        <v>483.0</v>
      </c>
      <c r="O45" s="91">
        <v>813.0</v>
      </c>
      <c r="P45" s="84">
        <v>13.6</v>
      </c>
      <c r="Q45" s="84"/>
      <c r="R45" s="76">
        <v>1.0</v>
      </c>
      <c r="S45" s="92" t="s">
        <v>208</v>
      </c>
      <c r="T45" s="82"/>
      <c r="U45" s="88"/>
      <c r="V45" s="88"/>
      <c r="W45" s="88"/>
      <c r="X45" s="88"/>
      <c r="Y45" s="88"/>
      <c r="Z45" s="88"/>
    </row>
    <row r="46" ht="65.25" customHeight="1">
      <c r="A46" s="79" t="s">
        <v>209</v>
      </c>
      <c r="B46" s="82"/>
      <c r="C46" s="76" t="s">
        <v>210</v>
      </c>
      <c r="D46" s="76" t="s">
        <v>211</v>
      </c>
      <c r="E46" s="82"/>
      <c r="F46" s="83">
        <v>32000.0</v>
      </c>
      <c r="G46" s="77">
        <f t="shared" si="1"/>
        <v>35200</v>
      </c>
      <c r="H46" s="77">
        <f t="shared" si="2"/>
        <v>22400</v>
      </c>
      <c r="I46" s="78" t="s">
        <v>202</v>
      </c>
      <c r="J46" s="78" t="s">
        <v>203</v>
      </c>
      <c r="K46" s="79" t="s">
        <v>60</v>
      </c>
      <c r="L46" s="84">
        <v>6.0</v>
      </c>
      <c r="M46" s="91">
        <v>527.0</v>
      </c>
      <c r="N46" s="91">
        <v>483.0</v>
      </c>
      <c r="O46" s="91">
        <v>813.0</v>
      </c>
      <c r="P46" s="84">
        <v>13.6</v>
      </c>
      <c r="Q46" s="84"/>
      <c r="R46" s="76">
        <v>1.0</v>
      </c>
      <c r="S46" s="92" t="s">
        <v>212</v>
      </c>
      <c r="T46" s="82"/>
      <c r="U46" s="88"/>
      <c r="V46" s="88"/>
      <c r="W46" s="88"/>
      <c r="X46" s="88"/>
      <c r="Y46" s="88"/>
      <c r="Z46" s="88"/>
    </row>
    <row r="47" ht="65.25" customHeight="1">
      <c r="A47" s="79" t="s">
        <v>213</v>
      </c>
      <c r="B47" s="82"/>
      <c r="C47" s="76" t="s">
        <v>214</v>
      </c>
      <c r="D47" s="76" t="s">
        <v>215</v>
      </c>
      <c r="E47" s="82"/>
      <c r="F47" s="83">
        <v>32000.0</v>
      </c>
      <c r="G47" s="77">
        <f t="shared" si="1"/>
        <v>35200</v>
      </c>
      <c r="H47" s="77">
        <f t="shared" si="2"/>
        <v>22400</v>
      </c>
      <c r="I47" s="78" t="s">
        <v>202</v>
      </c>
      <c r="J47" s="78" t="s">
        <v>203</v>
      </c>
      <c r="K47" s="79" t="s">
        <v>60</v>
      </c>
      <c r="L47" s="84">
        <v>6.0</v>
      </c>
      <c r="M47" s="91">
        <v>527.0</v>
      </c>
      <c r="N47" s="91">
        <v>483.0</v>
      </c>
      <c r="O47" s="91">
        <v>813.0</v>
      </c>
      <c r="P47" s="84">
        <v>13.6</v>
      </c>
      <c r="Q47" s="84"/>
      <c r="R47" s="76">
        <v>1.0</v>
      </c>
      <c r="S47" s="92" t="s">
        <v>216</v>
      </c>
      <c r="T47" s="82"/>
      <c r="U47" s="88"/>
      <c r="V47" s="88"/>
      <c r="W47" s="88"/>
      <c r="X47" s="88"/>
      <c r="Y47" s="88"/>
      <c r="Z47" s="88"/>
    </row>
    <row r="48" ht="65.25" customHeight="1">
      <c r="A48" s="79" t="s">
        <v>217</v>
      </c>
      <c r="B48" s="82"/>
      <c r="C48" s="76" t="s">
        <v>218</v>
      </c>
      <c r="D48" s="76" t="s">
        <v>219</v>
      </c>
      <c r="E48" s="82"/>
      <c r="F48" s="83">
        <v>28000.0</v>
      </c>
      <c r="G48" s="77">
        <f t="shared" si="1"/>
        <v>30800</v>
      </c>
      <c r="H48" s="77">
        <f t="shared" si="2"/>
        <v>19600</v>
      </c>
      <c r="I48" s="78" t="s">
        <v>220</v>
      </c>
      <c r="J48" s="78" t="s">
        <v>221</v>
      </c>
      <c r="K48" s="79" t="s">
        <v>60</v>
      </c>
      <c r="L48" s="84">
        <v>6.9</v>
      </c>
      <c r="M48" s="91">
        <v>540.0</v>
      </c>
      <c r="N48" s="91">
        <v>560.0</v>
      </c>
      <c r="O48" s="91">
        <v>790.0</v>
      </c>
      <c r="P48" s="84">
        <v>9.6</v>
      </c>
      <c r="Q48" s="84"/>
      <c r="R48" s="82">
        <v>1.0</v>
      </c>
      <c r="S48" s="79" t="s">
        <v>222</v>
      </c>
      <c r="T48" s="82"/>
      <c r="U48" s="88"/>
      <c r="V48" s="88"/>
      <c r="W48" s="88"/>
      <c r="X48" s="88"/>
      <c r="Y48" s="88"/>
      <c r="Z48" s="88"/>
    </row>
    <row r="49" ht="65.25" customHeight="1">
      <c r="A49" s="79" t="s">
        <v>223</v>
      </c>
      <c r="B49" s="82"/>
      <c r="C49" s="76" t="s">
        <v>224</v>
      </c>
      <c r="D49" s="76" t="s">
        <v>225</v>
      </c>
      <c r="E49" s="82"/>
      <c r="F49" s="83">
        <v>28000.0</v>
      </c>
      <c r="G49" s="77">
        <f t="shared" si="1"/>
        <v>30800</v>
      </c>
      <c r="H49" s="77">
        <f t="shared" si="2"/>
        <v>19600</v>
      </c>
      <c r="I49" s="78" t="s">
        <v>220</v>
      </c>
      <c r="J49" s="78" t="s">
        <v>221</v>
      </c>
      <c r="K49" s="79" t="s">
        <v>60</v>
      </c>
      <c r="L49" s="84">
        <v>6.9</v>
      </c>
      <c r="M49" s="91">
        <v>540.0</v>
      </c>
      <c r="N49" s="91">
        <v>560.0</v>
      </c>
      <c r="O49" s="91">
        <v>790.0</v>
      </c>
      <c r="P49" s="84">
        <v>9.6</v>
      </c>
      <c r="Q49" s="84"/>
      <c r="R49" s="82">
        <v>1.0</v>
      </c>
      <c r="S49" s="79" t="s">
        <v>222</v>
      </c>
      <c r="T49" s="82"/>
      <c r="U49" s="88"/>
      <c r="V49" s="88"/>
      <c r="W49" s="88"/>
      <c r="X49" s="88"/>
      <c r="Y49" s="88"/>
      <c r="Z49" s="88"/>
    </row>
    <row r="50" ht="65.25" customHeight="1">
      <c r="A50" s="79" t="s">
        <v>226</v>
      </c>
      <c r="B50" s="82"/>
      <c r="C50" s="76" t="s">
        <v>227</v>
      </c>
      <c r="D50" s="76" t="s">
        <v>228</v>
      </c>
      <c r="E50" s="82"/>
      <c r="F50" s="83">
        <v>32000.0</v>
      </c>
      <c r="G50" s="77">
        <f t="shared" si="1"/>
        <v>35200</v>
      </c>
      <c r="H50" s="77">
        <f t="shared" si="2"/>
        <v>22400</v>
      </c>
      <c r="I50" s="78" t="s">
        <v>229</v>
      </c>
      <c r="J50" s="78" t="s">
        <v>221</v>
      </c>
      <c r="K50" s="79" t="s">
        <v>60</v>
      </c>
      <c r="L50" s="84">
        <v>6.9</v>
      </c>
      <c r="M50" s="91">
        <v>470.0</v>
      </c>
      <c r="N50" s="91">
        <v>560.0</v>
      </c>
      <c r="O50" s="91">
        <v>820.0</v>
      </c>
      <c r="P50" s="84">
        <v>9.8</v>
      </c>
      <c r="Q50" s="84"/>
      <c r="R50" s="82">
        <v>1.0</v>
      </c>
      <c r="S50" s="79" t="s">
        <v>222</v>
      </c>
      <c r="T50" s="82"/>
      <c r="U50" s="88"/>
      <c r="V50" s="88"/>
      <c r="W50" s="88"/>
      <c r="X50" s="88"/>
      <c r="Y50" s="88"/>
      <c r="Z50" s="88"/>
    </row>
    <row r="51" ht="65.25" customHeight="1">
      <c r="A51" s="79" t="s">
        <v>230</v>
      </c>
      <c r="B51" s="82"/>
      <c r="C51" s="76" t="s">
        <v>231</v>
      </c>
      <c r="D51" s="76" t="s">
        <v>232</v>
      </c>
      <c r="E51" s="82"/>
      <c r="F51" s="83">
        <v>32000.0</v>
      </c>
      <c r="G51" s="77">
        <f t="shared" si="1"/>
        <v>35200</v>
      </c>
      <c r="H51" s="77">
        <f t="shared" si="2"/>
        <v>22400</v>
      </c>
      <c r="I51" s="78" t="s">
        <v>229</v>
      </c>
      <c r="J51" s="78" t="s">
        <v>221</v>
      </c>
      <c r="K51" s="79" t="s">
        <v>60</v>
      </c>
      <c r="L51" s="84">
        <v>6.9</v>
      </c>
      <c r="M51" s="91">
        <v>470.0</v>
      </c>
      <c r="N51" s="91">
        <v>560.0</v>
      </c>
      <c r="O51" s="91">
        <v>820.0</v>
      </c>
      <c r="P51" s="84">
        <v>9.8</v>
      </c>
      <c r="Q51" s="84"/>
      <c r="R51" s="82">
        <v>1.0</v>
      </c>
      <c r="S51" s="79" t="s">
        <v>222</v>
      </c>
      <c r="T51" s="82"/>
      <c r="U51" s="88"/>
      <c r="V51" s="88"/>
      <c r="W51" s="88"/>
      <c r="X51" s="88"/>
      <c r="Y51" s="88"/>
      <c r="Z51" s="88"/>
    </row>
    <row r="52" ht="65.25" customHeight="1">
      <c r="A52" s="79" t="s">
        <v>233</v>
      </c>
      <c r="B52" s="82"/>
      <c r="C52" s="76" t="s">
        <v>234</v>
      </c>
      <c r="D52" s="76" t="s">
        <v>235</v>
      </c>
      <c r="E52" s="82"/>
      <c r="F52" s="83">
        <v>28000.0</v>
      </c>
      <c r="G52" s="77">
        <f t="shared" si="1"/>
        <v>30800</v>
      </c>
      <c r="H52" s="77">
        <f t="shared" si="2"/>
        <v>19600</v>
      </c>
      <c r="I52" s="78" t="s">
        <v>236</v>
      </c>
      <c r="J52" s="78" t="s">
        <v>237</v>
      </c>
      <c r="K52" s="79" t="s">
        <v>60</v>
      </c>
      <c r="L52" s="84">
        <v>6.3</v>
      </c>
      <c r="M52" s="91">
        <v>485.0</v>
      </c>
      <c r="N52" s="91">
        <v>505.0</v>
      </c>
      <c r="O52" s="91">
        <v>760.0</v>
      </c>
      <c r="P52" s="84">
        <v>7.3</v>
      </c>
      <c r="Q52" s="84"/>
      <c r="R52" s="82">
        <v>1.0</v>
      </c>
      <c r="S52" s="79" t="s">
        <v>222</v>
      </c>
      <c r="T52" s="82"/>
      <c r="U52" s="88"/>
      <c r="V52" s="88"/>
      <c r="W52" s="88"/>
      <c r="X52" s="88"/>
      <c r="Y52" s="88"/>
      <c r="Z52" s="88"/>
    </row>
    <row r="53" ht="65.25" customHeight="1">
      <c r="A53" s="79" t="s">
        <v>238</v>
      </c>
      <c r="B53" s="82"/>
      <c r="C53" s="76" t="s">
        <v>239</v>
      </c>
      <c r="D53" s="76" t="s">
        <v>240</v>
      </c>
      <c r="E53" s="82"/>
      <c r="F53" s="83">
        <v>33000.0</v>
      </c>
      <c r="G53" s="77">
        <f t="shared" si="1"/>
        <v>36300</v>
      </c>
      <c r="H53" s="77">
        <f t="shared" si="2"/>
        <v>23100</v>
      </c>
      <c r="I53" s="78" t="s">
        <v>241</v>
      </c>
      <c r="J53" s="78" t="s">
        <v>237</v>
      </c>
      <c r="K53" s="79" t="s">
        <v>60</v>
      </c>
      <c r="L53" s="84">
        <v>8.0</v>
      </c>
      <c r="M53" s="91">
        <v>530.0</v>
      </c>
      <c r="N53" s="91">
        <v>530.0</v>
      </c>
      <c r="O53" s="91">
        <v>1060.0</v>
      </c>
      <c r="P53" s="84">
        <v>10.0</v>
      </c>
      <c r="Q53" s="84"/>
      <c r="R53" s="82">
        <v>1.0</v>
      </c>
      <c r="S53" s="79" t="s">
        <v>222</v>
      </c>
      <c r="T53" s="82"/>
      <c r="U53" s="88"/>
      <c r="V53" s="88"/>
      <c r="W53" s="88"/>
      <c r="X53" s="88"/>
      <c r="Y53" s="88"/>
      <c r="Z53" s="88"/>
    </row>
    <row r="54" ht="65.25" customHeight="1">
      <c r="A54" s="79" t="s">
        <v>242</v>
      </c>
      <c r="B54" s="82"/>
      <c r="C54" s="76" t="s">
        <v>243</v>
      </c>
      <c r="D54" s="76" t="s">
        <v>244</v>
      </c>
      <c r="E54" s="82"/>
      <c r="F54" s="83">
        <v>29000.0</v>
      </c>
      <c r="G54" s="77">
        <f t="shared" si="1"/>
        <v>31900</v>
      </c>
      <c r="H54" s="77">
        <f t="shared" si="2"/>
        <v>20300</v>
      </c>
      <c r="I54" s="78" t="s">
        <v>245</v>
      </c>
      <c r="J54" s="78" t="s">
        <v>246</v>
      </c>
      <c r="K54" s="79" t="s">
        <v>247</v>
      </c>
      <c r="L54" s="84">
        <v>5.58</v>
      </c>
      <c r="M54" s="85">
        <v>413.0</v>
      </c>
      <c r="N54" s="85">
        <v>138.0</v>
      </c>
      <c r="O54" s="85">
        <v>690.0</v>
      </c>
      <c r="P54" s="84">
        <v>7.6</v>
      </c>
      <c r="Q54" s="84"/>
      <c r="R54" s="82">
        <v>1.0</v>
      </c>
      <c r="S54" s="79" t="s">
        <v>61</v>
      </c>
      <c r="T54" s="82"/>
      <c r="U54" s="88"/>
      <c r="V54" s="88"/>
      <c r="W54" s="88"/>
      <c r="X54" s="88"/>
      <c r="Y54" s="88"/>
      <c r="Z54" s="88"/>
    </row>
    <row r="55" ht="65.25" customHeight="1">
      <c r="A55" s="79" t="s">
        <v>248</v>
      </c>
      <c r="B55" s="82"/>
      <c r="C55" s="76" t="s">
        <v>249</v>
      </c>
      <c r="D55" s="76" t="s">
        <v>250</v>
      </c>
      <c r="E55" s="82"/>
      <c r="F55" s="83">
        <v>29000.0</v>
      </c>
      <c r="G55" s="77">
        <f t="shared" si="1"/>
        <v>31900</v>
      </c>
      <c r="H55" s="77">
        <f t="shared" si="2"/>
        <v>20300</v>
      </c>
      <c r="I55" s="78" t="s">
        <v>245</v>
      </c>
      <c r="J55" s="78" t="s">
        <v>246</v>
      </c>
      <c r="K55" s="79" t="s">
        <v>247</v>
      </c>
      <c r="L55" s="84">
        <v>5.58</v>
      </c>
      <c r="M55" s="85">
        <v>413.0</v>
      </c>
      <c r="N55" s="85">
        <v>138.0</v>
      </c>
      <c r="O55" s="85">
        <v>690.0</v>
      </c>
      <c r="P55" s="84">
        <v>7.6</v>
      </c>
      <c r="Q55" s="84"/>
      <c r="R55" s="82">
        <v>1.0</v>
      </c>
      <c r="S55" s="79" t="s">
        <v>61</v>
      </c>
      <c r="T55" s="82"/>
      <c r="U55" s="88"/>
      <c r="V55" s="88"/>
      <c r="W55" s="88"/>
      <c r="X55" s="88"/>
      <c r="Y55" s="88"/>
      <c r="Z55" s="88"/>
    </row>
    <row r="56" ht="65.25" customHeight="1">
      <c r="A56" s="79" t="s">
        <v>251</v>
      </c>
      <c r="B56" s="82"/>
      <c r="C56" s="76" t="s">
        <v>252</v>
      </c>
      <c r="D56" s="76" t="s">
        <v>253</v>
      </c>
      <c r="E56" s="82"/>
      <c r="F56" s="83">
        <v>29000.0</v>
      </c>
      <c r="G56" s="77">
        <f t="shared" si="1"/>
        <v>31900</v>
      </c>
      <c r="H56" s="77">
        <f t="shared" si="2"/>
        <v>20300</v>
      </c>
      <c r="I56" s="78" t="s">
        <v>245</v>
      </c>
      <c r="J56" s="78" t="s">
        <v>246</v>
      </c>
      <c r="K56" s="79" t="s">
        <v>247</v>
      </c>
      <c r="L56" s="85">
        <v>5.58</v>
      </c>
      <c r="M56" s="85">
        <v>413.0</v>
      </c>
      <c r="N56" s="85">
        <v>138.0</v>
      </c>
      <c r="O56" s="85">
        <v>690.0</v>
      </c>
      <c r="P56" s="85">
        <v>7.6</v>
      </c>
      <c r="Q56" s="85"/>
      <c r="R56" s="82">
        <v>1.0</v>
      </c>
      <c r="S56" s="79" t="s">
        <v>61</v>
      </c>
      <c r="T56" s="82"/>
      <c r="U56" s="88"/>
      <c r="V56" s="88"/>
      <c r="W56" s="88"/>
      <c r="X56" s="88"/>
      <c r="Y56" s="88"/>
      <c r="Z56" s="88"/>
    </row>
    <row r="57" ht="65.25" customHeight="1">
      <c r="A57" s="79" t="s">
        <v>254</v>
      </c>
      <c r="B57" s="82"/>
      <c r="C57" s="76" t="s">
        <v>255</v>
      </c>
      <c r="D57" s="76" t="s">
        <v>256</v>
      </c>
      <c r="E57" s="82"/>
      <c r="F57" s="83">
        <v>29000.0</v>
      </c>
      <c r="G57" s="77">
        <f t="shared" si="1"/>
        <v>31900</v>
      </c>
      <c r="H57" s="77">
        <f t="shared" si="2"/>
        <v>20300</v>
      </c>
      <c r="I57" s="78" t="s">
        <v>245</v>
      </c>
      <c r="J57" s="78" t="s">
        <v>246</v>
      </c>
      <c r="K57" s="79" t="s">
        <v>247</v>
      </c>
      <c r="L57" s="85">
        <v>5.58</v>
      </c>
      <c r="M57" s="85">
        <v>413.0</v>
      </c>
      <c r="N57" s="85">
        <v>138.0</v>
      </c>
      <c r="O57" s="85">
        <v>690.0</v>
      </c>
      <c r="P57" s="85">
        <v>7.6</v>
      </c>
      <c r="Q57" s="85"/>
      <c r="R57" s="82">
        <v>1.0</v>
      </c>
      <c r="S57" s="79" t="s">
        <v>61</v>
      </c>
      <c r="T57" s="82"/>
      <c r="U57" s="88"/>
      <c r="V57" s="88"/>
      <c r="W57" s="88"/>
      <c r="X57" s="88"/>
      <c r="Y57" s="88"/>
      <c r="Z57" s="88"/>
    </row>
    <row r="58" ht="65.25" customHeight="1">
      <c r="A58" s="79" t="s">
        <v>257</v>
      </c>
      <c r="B58" s="82"/>
      <c r="C58" s="76" t="s">
        <v>258</v>
      </c>
      <c r="D58" s="76" t="s">
        <v>259</v>
      </c>
      <c r="E58" s="82"/>
      <c r="F58" s="83">
        <v>110000.0</v>
      </c>
      <c r="G58" s="77">
        <f t="shared" si="1"/>
        <v>121000</v>
      </c>
      <c r="H58" s="77">
        <f t="shared" si="2"/>
        <v>77000</v>
      </c>
      <c r="I58" s="78" t="s">
        <v>260</v>
      </c>
      <c r="J58" s="78" t="s">
        <v>261</v>
      </c>
      <c r="K58" s="79" t="s">
        <v>60</v>
      </c>
      <c r="L58" s="84">
        <v>28.5</v>
      </c>
      <c r="M58" s="91">
        <v>1035.0</v>
      </c>
      <c r="N58" s="91">
        <v>840.0</v>
      </c>
      <c r="O58" s="91">
        <v>1170.0</v>
      </c>
      <c r="P58" s="84">
        <v>37.4</v>
      </c>
      <c r="Q58" s="84"/>
      <c r="R58" s="76">
        <v>1.0</v>
      </c>
      <c r="S58" s="79" t="s">
        <v>222</v>
      </c>
      <c r="T58" s="82"/>
      <c r="U58" s="88"/>
      <c r="V58" s="88"/>
      <c r="W58" s="88"/>
      <c r="X58" s="88"/>
      <c r="Y58" s="88"/>
      <c r="Z58" s="88"/>
    </row>
    <row r="59" ht="65.25" customHeight="1">
      <c r="A59" s="79" t="s">
        <v>262</v>
      </c>
      <c r="B59" s="82"/>
      <c r="C59" s="76" t="s">
        <v>263</v>
      </c>
      <c r="D59" s="76" t="s">
        <v>264</v>
      </c>
      <c r="E59" s="82"/>
      <c r="F59" s="83">
        <v>42000.0</v>
      </c>
      <c r="G59" s="77">
        <f t="shared" si="1"/>
        <v>46200</v>
      </c>
      <c r="H59" s="77">
        <f t="shared" si="2"/>
        <v>29400</v>
      </c>
      <c r="I59" s="78" t="s">
        <v>265</v>
      </c>
      <c r="J59" s="78" t="s">
        <v>221</v>
      </c>
      <c r="K59" s="79" t="s">
        <v>60</v>
      </c>
      <c r="L59" s="84">
        <v>11.3</v>
      </c>
      <c r="M59" s="91">
        <v>720.0</v>
      </c>
      <c r="N59" s="91">
        <v>725.0</v>
      </c>
      <c r="O59" s="91">
        <v>690.0</v>
      </c>
      <c r="P59" s="84">
        <v>14.85</v>
      </c>
      <c r="Q59" s="84"/>
      <c r="R59" s="82">
        <v>1.0</v>
      </c>
      <c r="S59" s="79" t="s">
        <v>222</v>
      </c>
      <c r="T59" s="82"/>
      <c r="U59" s="88"/>
      <c r="V59" s="88"/>
      <c r="W59" s="88"/>
      <c r="X59" s="88"/>
      <c r="Y59" s="88"/>
      <c r="Z59" s="88"/>
    </row>
    <row r="60" ht="65.25" customHeight="1">
      <c r="A60" s="79" t="s">
        <v>266</v>
      </c>
      <c r="B60" s="82"/>
      <c r="C60" s="76" t="s">
        <v>267</v>
      </c>
      <c r="D60" s="76" t="s">
        <v>268</v>
      </c>
      <c r="E60" s="82"/>
      <c r="F60" s="83">
        <v>42000.0</v>
      </c>
      <c r="G60" s="77">
        <f t="shared" si="1"/>
        <v>46200</v>
      </c>
      <c r="H60" s="77">
        <f t="shared" si="2"/>
        <v>29400</v>
      </c>
      <c r="I60" s="78" t="s">
        <v>265</v>
      </c>
      <c r="J60" s="78" t="s">
        <v>221</v>
      </c>
      <c r="K60" s="79" t="s">
        <v>60</v>
      </c>
      <c r="L60" s="84">
        <v>11.3</v>
      </c>
      <c r="M60" s="91">
        <v>720.0</v>
      </c>
      <c r="N60" s="91">
        <v>725.0</v>
      </c>
      <c r="O60" s="91">
        <v>690.0</v>
      </c>
      <c r="P60" s="84">
        <v>14.85</v>
      </c>
      <c r="Q60" s="84"/>
      <c r="R60" s="82">
        <v>1.0</v>
      </c>
      <c r="S60" s="79" t="s">
        <v>222</v>
      </c>
      <c r="T60" s="82"/>
      <c r="U60" s="88"/>
      <c r="V60" s="88"/>
      <c r="W60" s="88"/>
      <c r="X60" s="88"/>
      <c r="Y60" s="88"/>
      <c r="Z60" s="88"/>
    </row>
    <row r="61" ht="65.25" customHeight="1">
      <c r="A61" s="92">
        <v>293738.0</v>
      </c>
      <c r="B61" s="82"/>
      <c r="C61" s="82" t="s">
        <v>269</v>
      </c>
      <c r="D61" s="76" t="s">
        <v>270</v>
      </c>
      <c r="E61" s="82"/>
      <c r="F61" s="93">
        <v>29000.0</v>
      </c>
      <c r="G61" s="77">
        <f t="shared" si="1"/>
        <v>31900</v>
      </c>
      <c r="H61" s="77">
        <f t="shared" si="2"/>
        <v>20300</v>
      </c>
      <c r="I61" s="78" t="s">
        <v>271</v>
      </c>
      <c r="J61" s="78" t="s">
        <v>272</v>
      </c>
      <c r="K61" s="79" t="s">
        <v>247</v>
      </c>
      <c r="L61" s="84">
        <v>17.63</v>
      </c>
      <c r="M61" s="91">
        <v>1213.0</v>
      </c>
      <c r="N61" s="91">
        <v>623.0</v>
      </c>
      <c r="O61" s="91">
        <v>188.0</v>
      </c>
      <c r="P61" s="84">
        <v>20.0</v>
      </c>
      <c r="Q61" s="84"/>
      <c r="R61" s="82">
        <v>1.0</v>
      </c>
      <c r="S61" s="79" t="s">
        <v>61</v>
      </c>
      <c r="T61" s="82"/>
      <c r="U61" s="88"/>
      <c r="V61" s="88"/>
      <c r="W61" s="88"/>
      <c r="X61" s="88"/>
      <c r="Y61" s="88"/>
      <c r="Z61" s="88"/>
    </row>
    <row r="62" ht="65.25" customHeight="1">
      <c r="A62" s="92">
        <v>293752.0</v>
      </c>
      <c r="B62" s="82"/>
      <c r="C62" s="82" t="s">
        <v>273</v>
      </c>
      <c r="D62" s="76" t="s">
        <v>274</v>
      </c>
      <c r="E62" s="82"/>
      <c r="F62" s="93">
        <v>29000.0</v>
      </c>
      <c r="G62" s="77">
        <f t="shared" si="1"/>
        <v>31900</v>
      </c>
      <c r="H62" s="77">
        <f t="shared" si="2"/>
        <v>20300</v>
      </c>
      <c r="I62" s="78" t="s">
        <v>271</v>
      </c>
      <c r="J62" s="78" t="s">
        <v>272</v>
      </c>
      <c r="K62" s="79" t="s">
        <v>247</v>
      </c>
      <c r="L62" s="84">
        <v>17.63</v>
      </c>
      <c r="M62" s="91">
        <v>1213.0</v>
      </c>
      <c r="N62" s="91">
        <v>623.0</v>
      </c>
      <c r="O62" s="91">
        <v>188.0</v>
      </c>
      <c r="P62" s="84">
        <v>20.0</v>
      </c>
      <c r="Q62" s="84"/>
      <c r="R62" s="82">
        <v>1.0</v>
      </c>
      <c r="S62" s="79" t="s">
        <v>61</v>
      </c>
      <c r="T62" s="82"/>
      <c r="U62" s="88"/>
      <c r="V62" s="88"/>
      <c r="W62" s="88"/>
      <c r="X62" s="88"/>
      <c r="Y62" s="88"/>
      <c r="Z62" s="88"/>
    </row>
    <row r="63" ht="65.25" customHeight="1">
      <c r="A63" s="92">
        <v>293745.0</v>
      </c>
      <c r="B63" s="82"/>
      <c r="C63" s="82" t="s">
        <v>275</v>
      </c>
      <c r="D63" s="76" t="s">
        <v>276</v>
      </c>
      <c r="E63" s="82"/>
      <c r="F63" s="93">
        <v>29000.0</v>
      </c>
      <c r="G63" s="77">
        <f t="shared" si="1"/>
        <v>31900</v>
      </c>
      <c r="H63" s="77">
        <f t="shared" si="2"/>
        <v>20300</v>
      </c>
      <c r="I63" s="78" t="s">
        <v>271</v>
      </c>
      <c r="J63" s="78" t="s">
        <v>272</v>
      </c>
      <c r="K63" s="79" t="s">
        <v>247</v>
      </c>
      <c r="L63" s="84">
        <v>17.63</v>
      </c>
      <c r="M63" s="91">
        <v>1213.0</v>
      </c>
      <c r="N63" s="91">
        <v>623.0</v>
      </c>
      <c r="O63" s="91">
        <v>188.0</v>
      </c>
      <c r="P63" s="84">
        <v>20.0</v>
      </c>
      <c r="Q63" s="84"/>
      <c r="R63" s="82">
        <v>1.0</v>
      </c>
      <c r="S63" s="79" t="s">
        <v>61</v>
      </c>
      <c r="T63" s="82"/>
      <c r="U63" s="88"/>
      <c r="V63" s="88"/>
      <c r="W63" s="88"/>
      <c r="X63" s="88"/>
      <c r="Y63" s="88"/>
      <c r="Z63" s="88"/>
    </row>
    <row r="64" ht="65.25" customHeight="1">
      <c r="A64" s="79" t="s">
        <v>19</v>
      </c>
      <c r="B64" s="82"/>
      <c r="C64" s="76" t="s">
        <v>20</v>
      </c>
      <c r="D64" s="76" t="s">
        <v>277</v>
      </c>
      <c r="E64" s="82"/>
      <c r="F64" s="83">
        <v>40000.0</v>
      </c>
      <c r="G64" s="77">
        <f t="shared" si="1"/>
        <v>44000</v>
      </c>
      <c r="H64" s="77">
        <f t="shared" si="2"/>
        <v>28000</v>
      </c>
      <c r="I64" s="78" t="s">
        <v>278</v>
      </c>
      <c r="J64" s="78" t="s">
        <v>279</v>
      </c>
      <c r="K64" s="79" t="s">
        <v>247</v>
      </c>
      <c r="L64" s="84">
        <v>25.03</v>
      </c>
      <c r="M64" s="85">
        <v>1324.0</v>
      </c>
      <c r="N64" s="85">
        <v>1266.0</v>
      </c>
      <c r="O64" s="85">
        <v>103.0</v>
      </c>
      <c r="P64" s="84">
        <v>30.0</v>
      </c>
      <c r="Q64" s="84"/>
      <c r="R64" s="82">
        <v>1.0</v>
      </c>
      <c r="S64" s="79" t="s">
        <v>61</v>
      </c>
      <c r="T64" s="82"/>
      <c r="U64" s="88"/>
      <c r="V64" s="88"/>
      <c r="W64" s="88"/>
      <c r="X64" s="88"/>
      <c r="Y64" s="88"/>
      <c r="Z64" s="88"/>
    </row>
    <row r="65" ht="65.25" customHeight="1">
      <c r="A65" s="79" t="s">
        <v>21</v>
      </c>
      <c r="B65" s="82"/>
      <c r="C65" s="76" t="s">
        <v>22</v>
      </c>
      <c r="D65" s="76" t="s">
        <v>280</v>
      </c>
      <c r="E65" s="82"/>
      <c r="F65" s="83">
        <v>20000.0</v>
      </c>
      <c r="G65" s="77">
        <f t="shared" si="1"/>
        <v>22000</v>
      </c>
      <c r="H65" s="77">
        <f t="shared" si="2"/>
        <v>14000</v>
      </c>
      <c r="I65" s="78" t="s">
        <v>281</v>
      </c>
      <c r="J65" s="78" t="s">
        <v>282</v>
      </c>
      <c r="K65" s="79" t="s">
        <v>247</v>
      </c>
      <c r="L65" s="84">
        <v>11.64</v>
      </c>
      <c r="M65" s="85">
        <v>780.0</v>
      </c>
      <c r="N65" s="85">
        <v>388.0</v>
      </c>
      <c r="O65" s="85">
        <v>188.0</v>
      </c>
      <c r="P65" s="84">
        <v>13.28</v>
      </c>
      <c r="Q65" s="84"/>
      <c r="R65" s="82">
        <v>1.0</v>
      </c>
      <c r="S65" s="79" t="s">
        <v>61</v>
      </c>
      <c r="T65" s="90" t="s">
        <v>283</v>
      </c>
      <c r="U65" s="88"/>
      <c r="V65" s="88"/>
      <c r="W65" s="88"/>
      <c r="X65" s="88"/>
      <c r="Y65" s="88"/>
      <c r="Z65" s="88"/>
    </row>
    <row r="66" ht="65.25" customHeight="1">
      <c r="A66" s="79" t="s">
        <v>284</v>
      </c>
      <c r="B66" s="82"/>
      <c r="C66" s="76" t="s">
        <v>285</v>
      </c>
      <c r="D66" s="86" t="s">
        <v>286</v>
      </c>
      <c r="E66" s="82"/>
      <c r="F66" s="83">
        <v>22000.0</v>
      </c>
      <c r="G66" s="77">
        <f t="shared" si="1"/>
        <v>24200</v>
      </c>
      <c r="H66" s="77">
        <f t="shared" si="2"/>
        <v>15400</v>
      </c>
      <c r="I66" s="78" t="s">
        <v>281</v>
      </c>
      <c r="J66" s="78" t="s">
        <v>282</v>
      </c>
      <c r="K66" s="79" t="s">
        <v>247</v>
      </c>
      <c r="L66" s="84">
        <v>7.05</v>
      </c>
      <c r="M66" s="91">
        <v>780.0</v>
      </c>
      <c r="N66" s="91">
        <v>388.0</v>
      </c>
      <c r="O66" s="91">
        <v>188.0</v>
      </c>
      <c r="P66" s="84">
        <v>8.61</v>
      </c>
      <c r="Q66" s="84"/>
      <c r="R66" s="82">
        <v>1.0</v>
      </c>
      <c r="S66" s="79" t="s">
        <v>61</v>
      </c>
      <c r="T66" s="90" t="s">
        <v>287</v>
      </c>
      <c r="U66" s="88"/>
      <c r="V66" s="88"/>
      <c r="W66" s="88"/>
      <c r="X66" s="88"/>
      <c r="Y66" s="88"/>
      <c r="Z66" s="88"/>
    </row>
    <row r="67" ht="65.25" customHeight="1">
      <c r="A67" s="79" t="s">
        <v>288</v>
      </c>
      <c r="B67" s="76"/>
      <c r="C67" s="76" t="s">
        <v>289</v>
      </c>
      <c r="D67" s="86" t="s">
        <v>290</v>
      </c>
      <c r="E67" s="82"/>
      <c r="F67" s="83">
        <v>40000.0</v>
      </c>
      <c r="G67" s="77">
        <f t="shared" si="1"/>
        <v>44000</v>
      </c>
      <c r="H67" s="77">
        <f t="shared" si="2"/>
        <v>28000</v>
      </c>
      <c r="I67" s="78" t="s">
        <v>278</v>
      </c>
      <c r="J67" s="78" t="s">
        <v>279</v>
      </c>
      <c r="K67" s="79" t="s">
        <v>247</v>
      </c>
      <c r="L67" s="84">
        <v>25.03</v>
      </c>
      <c r="M67" s="85">
        <v>1324.0</v>
      </c>
      <c r="N67" s="85">
        <v>1266.0</v>
      </c>
      <c r="O67" s="85">
        <v>103.0</v>
      </c>
      <c r="P67" s="84">
        <v>30.0</v>
      </c>
      <c r="Q67" s="84"/>
      <c r="R67" s="82">
        <v>1.0</v>
      </c>
      <c r="S67" s="79" t="s">
        <v>61</v>
      </c>
      <c r="T67" s="82"/>
      <c r="U67" s="88"/>
      <c r="V67" s="88"/>
      <c r="W67" s="88"/>
      <c r="X67" s="88"/>
      <c r="Y67" s="88"/>
      <c r="Z67" s="88"/>
    </row>
    <row r="68" ht="65.25" customHeight="1">
      <c r="A68" s="79" t="s">
        <v>291</v>
      </c>
      <c r="B68" s="76"/>
      <c r="C68" s="76" t="s">
        <v>292</v>
      </c>
      <c r="D68" s="86" t="s">
        <v>293</v>
      </c>
      <c r="E68" s="82"/>
      <c r="F68" s="83">
        <v>47500.0</v>
      </c>
      <c r="G68" s="77">
        <f t="shared" si="1"/>
        <v>52250</v>
      </c>
      <c r="H68" s="77">
        <f t="shared" si="2"/>
        <v>33250</v>
      </c>
      <c r="I68" s="78" t="s">
        <v>281</v>
      </c>
      <c r="J68" s="78" t="s">
        <v>294</v>
      </c>
      <c r="K68" s="79" t="s">
        <v>247</v>
      </c>
      <c r="L68" s="84">
        <v>11.64</v>
      </c>
      <c r="M68" s="85">
        <v>780.0</v>
      </c>
      <c r="N68" s="85">
        <v>388.0</v>
      </c>
      <c r="O68" s="85">
        <v>188.0</v>
      </c>
      <c r="P68" s="84">
        <v>13.28</v>
      </c>
      <c r="Q68" s="84"/>
      <c r="R68" s="82">
        <v>1.0</v>
      </c>
      <c r="S68" s="79" t="s">
        <v>61</v>
      </c>
      <c r="T68" s="90" t="s">
        <v>283</v>
      </c>
      <c r="U68" s="88"/>
      <c r="V68" s="88"/>
      <c r="W68" s="88"/>
      <c r="X68" s="88"/>
      <c r="Y68" s="88"/>
      <c r="Z68" s="88"/>
    </row>
    <row r="69" ht="65.25" customHeight="1">
      <c r="A69" s="79" t="s">
        <v>295</v>
      </c>
      <c r="B69" s="76"/>
      <c r="C69" s="76" t="s">
        <v>296</v>
      </c>
      <c r="D69" s="86" t="s">
        <v>297</v>
      </c>
      <c r="E69" s="82"/>
      <c r="F69" s="83">
        <v>36000.0</v>
      </c>
      <c r="G69" s="77">
        <f t="shared" si="1"/>
        <v>39600</v>
      </c>
      <c r="H69" s="77">
        <f t="shared" si="2"/>
        <v>25200</v>
      </c>
      <c r="I69" s="78" t="s">
        <v>281</v>
      </c>
      <c r="J69" s="78" t="s">
        <v>294</v>
      </c>
      <c r="K69" s="79" t="s">
        <v>247</v>
      </c>
      <c r="L69" s="84">
        <v>7.05</v>
      </c>
      <c r="M69" s="91">
        <v>780.0</v>
      </c>
      <c r="N69" s="91">
        <v>388.0</v>
      </c>
      <c r="O69" s="91">
        <v>188.0</v>
      </c>
      <c r="P69" s="84">
        <v>8.61</v>
      </c>
      <c r="Q69" s="84"/>
      <c r="R69" s="82">
        <v>1.0</v>
      </c>
      <c r="S69" s="79" t="s">
        <v>61</v>
      </c>
      <c r="T69" s="90" t="s">
        <v>287</v>
      </c>
      <c r="U69" s="88"/>
      <c r="V69" s="88"/>
      <c r="W69" s="88"/>
      <c r="X69" s="88"/>
      <c r="Y69" s="88"/>
      <c r="Z69" s="88"/>
    </row>
    <row r="70" ht="65.25" customHeight="1">
      <c r="A70" s="94">
        <v>294209.0</v>
      </c>
      <c r="B70" s="82"/>
      <c r="C70" s="76" t="s">
        <v>298</v>
      </c>
      <c r="D70" s="86" t="s">
        <v>299</v>
      </c>
      <c r="E70" s="82"/>
      <c r="F70" s="83">
        <v>150000.0</v>
      </c>
      <c r="G70" s="77">
        <f t="shared" si="1"/>
        <v>165000</v>
      </c>
      <c r="H70" s="77">
        <f t="shared" si="2"/>
        <v>105000</v>
      </c>
      <c r="I70" s="78" t="s">
        <v>300</v>
      </c>
      <c r="J70" s="78" t="s">
        <v>301</v>
      </c>
      <c r="K70" s="79" t="s">
        <v>60</v>
      </c>
      <c r="L70" s="84">
        <v>27.9</v>
      </c>
      <c r="M70" s="85">
        <v>1430.0</v>
      </c>
      <c r="N70" s="85">
        <v>1050.0</v>
      </c>
      <c r="O70" s="85">
        <v>210.0</v>
      </c>
      <c r="P70" s="84">
        <v>31.2</v>
      </c>
      <c r="Q70" s="84"/>
      <c r="R70" s="76">
        <v>1.0</v>
      </c>
      <c r="S70" s="76" t="s">
        <v>61</v>
      </c>
      <c r="T70" s="82"/>
      <c r="U70" s="88"/>
      <c r="V70" s="88"/>
      <c r="W70" s="88"/>
      <c r="X70" s="88"/>
      <c r="Y70" s="88"/>
      <c r="Z70" s="88"/>
    </row>
    <row r="71" ht="18.75" customHeight="1">
      <c r="A71" s="95"/>
      <c r="B71" s="82"/>
      <c r="C71" s="76"/>
      <c r="D71" s="86"/>
      <c r="E71" s="82"/>
      <c r="F71" s="83"/>
      <c r="G71" s="77"/>
      <c r="H71" s="77"/>
      <c r="I71" s="78"/>
      <c r="J71" s="78"/>
      <c r="K71" s="79"/>
      <c r="L71" s="84">
        <v>10.0</v>
      </c>
      <c r="M71" s="85">
        <v>600.0</v>
      </c>
      <c r="N71" s="85">
        <v>620.0</v>
      </c>
      <c r="O71" s="85">
        <v>830.0</v>
      </c>
      <c r="P71" s="84">
        <v>12.5</v>
      </c>
      <c r="Q71" s="84"/>
      <c r="R71" s="76">
        <v>1.0</v>
      </c>
      <c r="S71" s="76"/>
      <c r="T71" s="82"/>
      <c r="U71" s="88"/>
      <c r="V71" s="88"/>
      <c r="W71" s="88"/>
      <c r="X71" s="88"/>
      <c r="Y71" s="88"/>
      <c r="Z71" s="88"/>
    </row>
    <row r="72" ht="65.25" customHeight="1">
      <c r="A72" s="94">
        <v>294216.0</v>
      </c>
      <c r="B72" s="82"/>
      <c r="C72" s="76" t="s">
        <v>302</v>
      </c>
      <c r="D72" s="76" t="s">
        <v>303</v>
      </c>
      <c r="E72" s="82"/>
      <c r="F72" s="83">
        <v>150000.0</v>
      </c>
      <c r="G72" s="77">
        <f>F72*1.1</f>
        <v>165000</v>
      </c>
      <c r="H72" s="77">
        <f>F72*0.7</f>
        <v>105000</v>
      </c>
      <c r="I72" s="78" t="s">
        <v>300</v>
      </c>
      <c r="J72" s="78" t="s">
        <v>301</v>
      </c>
      <c r="K72" s="79" t="s">
        <v>60</v>
      </c>
      <c r="L72" s="84">
        <v>27.9</v>
      </c>
      <c r="M72" s="85">
        <v>1430.0</v>
      </c>
      <c r="N72" s="85">
        <v>1050.0</v>
      </c>
      <c r="O72" s="85">
        <v>210.0</v>
      </c>
      <c r="P72" s="84">
        <v>31.2</v>
      </c>
      <c r="Q72" s="84"/>
      <c r="R72" s="76">
        <v>1.0</v>
      </c>
      <c r="S72" s="76" t="s">
        <v>61</v>
      </c>
      <c r="T72" s="82"/>
      <c r="U72" s="88"/>
      <c r="V72" s="88"/>
      <c r="W72" s="88"/>
      <c r="X72" s="88"/>
      <c r="Y72" s="88"/>
      <c r="Z72" s="88"/>
    </row>
    <row r="73" ht="18.0" customHeight="1">
      <c r="A73" s="95"/>
      <c r="B73" s="82"/>
      <c r="C73" s="76"/>
      <c r="D73" s="76"/>
      <c r="E73" s="82"/>
      <c r="F73" s="83"/>
      <c r="G73" s="77"/>
      <c r="H73" s="77"/>
      <c r="I73" s="78"/>
      <c r="J73" s="78"/>
      <c r="K73" s="79"/>
      <c r="L73" s="84">
        <v>10.0</v>
      </c>
      <c r="M73" s="85">
        <v>600.0</v>
      </c>
      <c r="N73" s="85">
        <v>620.0</v>
      </c>
      <c r="O73" s="85">
        <v>830.0</v>
      </c>
      <c r="P73" s="84">
        <v>12.5</v>
      </c>
      <c r="Q73" s="84"/>
      <c r="R73" s="76">
        <v>1.0</v>
      </c>
      <c r="S73" s="76"/>
      <c r="T73" s="82"/>
      <c r="U73" s="88"/>
      <c r="V73" s="88"/>
      <c r="W73" s="88"/>
      <c r="X73" s="88"/>
      <c r="Y73" s="88"/>
      <c r="Z73" s="88"/>
    </row>
    <row r="74" ht="65.25" customHeight="1">
      <c r="A74" s="79">
        <v>294223.0</v>
      </c>
      <c r="B74" s="82"/>
      <c r="C74" s="76" t="s">
        <v>304</v>
      </c>
      <c r="D74" s="76" t="s">
        <v>305</v>
      </c>
      <c r="E74" s="82"/>
      <c r="F74" s="83">
        <v>95000.0</v>
      </c>
      <c r="G74" s="77">
        <f t="shared" ref="G74:G77" si="3">F74*1.1</f>
        <v>104500</v>
      </c>
      <c r="H74" s="77">
        <f t="shared" ref="H74:H77" si="4">F74*0.7</f>
        <v>66500</v>
      </c>
      <c r="I74" s="78" t="s">
        <v>306</v>
      </c>
      <c r="J74" s="78" t="s">
        <v>301</v>
      </c>
      <c r="K74" s="79" t="s">
        <v>60</v>
      </c>
      <c r="L74" s="84">
        <v>22.3</v>
      </c>
      <c r="M74" s="91">
        <v>1440.0</v>
      </c>
      <c r="N74" s="91">
        <v>990.0</v>
      </c>
      <c r="O74" s="91">
        <v>220.0</v>
      </c>
      <c r="P74" s="84">
        <v>24.8</v>
      </c>
      <c r="Q74" s="84"/>
      <c r="R74" s="76">
        <v>1.0</v>
      </c>
      <c r="S74" s="76" t="s">
        <v>61</v>
      </c>
      <c r="T74" s="82"/>
      <c r="U74" s="88"/>
      <c r="V74" s="88"/>
      <c r="W74" s="88"/>
      <c r="X74" s="88"/>
      <c r="Y74" s="88"/>
      <c r="Z74" s="88"/>
    </row>
    <row r="75" ht="65.25" customHeight="1">
      <c r="A75" s="79" t="s">
        <v>307</v>
      </c>
      <c r="B75" s="82"/>
      <c r="C75" s="76" t="s">
        <v>308</v>
      </c>
      <c r="D75" s="76" t="s">
        <v>309</v>
      </c>
      <c r="E75" s="82"/>
      <c r="F75" s="83">
        <v>95000.0</v>
      </c>
      <c r="G75" s="77">
        <f t="shared" si="3"/>
        <v>104500</v>
      </c>
      <c r="H75" s="77">
        <f t="shared" si="4"/>
        <v>66500</v>
      </c>
      <c r="I75" s="78" t="s">
        <v>306</v>
      </c>
      <c r="J75" s="78" t="s">
        <v>301</v>
      </c>
      <c r="K75" s="79" t="s">
        <v>60</v>
      </c>
      <c r="L75" s="84">
        <v>22.3</v>
      </c>
      <c r="M75" s="91">
        <v>1440.0</v>
      </c>
      <c r="N75" s="91">
        <v>990.0</v>
      </c>
      <c r="O75" s="91">
        <v>220.0</v>
      </c>
      <c r="P75" s="84">
        <v>24.8</v>
      </c>
      <c r="Q75" s="84"/>
      <c r="R75" s="76">
        <v>1.0</v>
      </c>
      <c r="S75" s="76" t="s">
        <v>61</v>
      </c>
      <c r="T75" s="82"/>
      <c r="U75" s="88"/>
      <c r="V75" s="88"/>
      <c r="W75" s="88"/>
      <c r="X75" s="88"/>
      <c r="Y75" s="88"/>
      <c r="Z75" s="88"/>
    </row>
    <row r="76" ht="65.25" customHeight="1">
      <c r="A76" s="92">
        <v>293790.0</v>
      </c>
      <c r="B76" s="82"/>
      <c r="C76" s="76" t="s">
        <v>310</v>
      </c>
      <c r="D76" s="76" t="s">
        <v>311</v>
      </c>
      <c r="E76" s="82"/>
      <c r="F76" s="96">
        <v>75000.0</v>
      </c>
      <c r="G76" s="77">
        <f t="shared" si="3"/>
        <v>82500</v>
      </c>
      <c r="H76" s="77">
        <f t="shared" si="4"/>
        <v>52500</v>
      </c>
      <c r="I76" s="78" t="s">
        <v>312</v>
      </c>
      <c r="J76" s="78" t="s">
        <v>313</v>
      </c>
      <c r="K76" s="92" t="s">
        <v>247</v>
      </c>
      <c r="L76" s="84">
        <v>46.73</v>
      </c>
      <c r="M76" s="91">
        <v>862.0</v>
      </c>
      <c r="N76" s="91">
        <v>462.0</v>
      </c>
      <c r="O76" s="91">
        <v>1285.0</v>
      </c>
      <c r="P76" s="84">
        <v>53.0</v>
      </c>
      <c r="Q76" s="84"/>
      <c r="R76" s="82">
        <v>1.0</v>
      </c>
      <c r="S76" s="76" t="s">
        <v>61</v>
      </c>
      <c r="T76" s="82"/>
      <c r="U76" s="88"/>
      <c r="V76" s="88"/>
      <c r="W76" s="88"/>
      <c r="X76" s="88"/>
      <c r="Y76" s="88"/>
      <c r="Z76" s="88"/>
    </row>
    <row r="77" ht="65.25" customHeight="1">
      <c r="A77" s="92">
        <v>293806.0</v>
      </c>
      <c r="B77" s="82"/>
      <c r="C77" s="76" t="s">
        <v>314</v>
      </c>
      <c r="D77" s="76" t="s">
        <v>315</v>
      </c>
      <c r="E77" s="82"/>
      <c r="F77" s="96">
        <v>125000.0</v>
      </c>
      <c r="G77" s="77">
        <f t="shared" si="3"/>
        <v>137500</v>
      </c>
      <c r="H77" s="77">
        <f t="shared" si="4"/>
        <v>87500</v>
      </c>
      <c r="I77" s="78" t="s">
        <v>316</v>
      </c>
      <c r="J77" s="78" t="s">
        <v>313</v>
      </c>
      <c r="K77" s="92" t="s">
        <v>247</v>
      </c>
      <c r="L77" s="84">
        <v>29.54</v>
      </c>
      <c r="M77" s="91">
        <v>862.0</v>
      </c>
      <c r="N77" s="91">
        <v>462.0</v>
      </c>
      <c r="O77" s="91">
        <v>855.0</v>
      </c>
      <c r="P77" s="84">
        <v>33.0</v>
      </c>
      <c r="Q77" s="84"/>
      <c r="R77" s="82">
        <v>1.0</v>
      </c>
      <c r="S77" s="76" t="s">
        <v>61</v>
      </c>
      <c r="T77" s="82"/>
      <c r="U77" s="88"/>
      <c r="V77" s="88"/>
      <c r="W77" s="88"/>
      <c r="X77" s="88"/>
      <c r="Y77" s="88"/>
      <c r="Z77" s="88"/>
    </row>
    <row r="78" ht="22.5" customHeight="1">
      <c r="A78" s="92"/>
      <c r="B78" s="82"/>
      <c r="C78" s="76"/>
      <c r="D78" s="76"/>
      <c r="E78" s="82"/>
      <c r="F78" s="96"/>
      <c r="G78" s="77"/>
      <c r="H78" s="77"/>
      <c r="I78" s="78"/>
      <c r="J78" s="78"/>
      <c r="K78" s="92" t="s">
        <v>247</v>
      </c>
      <c r="L78" s="84">
        <v>46.73</v>
      </c>
      <c r="M78" s="91">
        <v>862.0</v>
      </c>
      <c r="N78" s="91">
        <v>462.0</v>
      </c>
      <c r="O78" s="91">
        <v>1285.0</v>
      </c>
      <c r="P78" s="84">
        <v>53.0</v>
      </c>
      <c r="Q78" s="84"/>
      <c r="R78" s="82"/>
      <c r="S78" s="76"/>
      <c r="T78" s="82"/>
      <c r="U78" s="88"/>
      <c r="V78" s="88"/>
      <c r="W78" s="88"/>
      <c r="X78" s="88"/>
      <c r="Y78" s="88"/>
      <c r="Z78" s="88"/>
    </row>
    <row r="79" ht="65.25" customHeight="1">
      <c r="A79" s="92"/>
      <c r="B79" s="82"/>
      <c r="C79" s="82" t="s">
        <v>317</v>
      </c>
      <c r="D79" s="86" t="s">
        <v>318</v>
      </c>
      <c r="E79" s="82"/>
      <c r="F79" s="96">
        <v>131000.0</v>
      </c>
      <c r="G79" s="77">
        <f>F79*1.1</f>
        <v>144100</v>
      </c>
      <c r="H79" s="77">
        <f>F79*0.7</f>
        <v>91700</v>
      </c>
      <c r="I79" s="86" t="s">
        <v>319</v>
      </c>
      <c r="J79" s="86" t="s">
        <v>320</v>
      </c>
      <c r="K79" s="92" t="s">
        <v>247</v>
      </c>
      <c r="L79" s="85"/>
      <c r="M79" s="85"/>
      <c r="N79" s="85"/>
      <c r="O79" s="85"/>
      <c r="P79" s="85"/>
      <c r="Q79" s="85"/>
      <c r="R79" s="82"/>
      <c r="S79" s="76" t="s">
        <v>61</v>
      </c>
      <c r="T79" s="87" t="s">
        <v>321</v>
      </c>
      <c r="U79" s="88"/>
      <c r="V79" s="88"/>
      <c r="W79" s="88"/>
      <c r="X79" s="88"/>
      <c r="Y79" s="88"/>
      <c r="Z79" s="88"/>
    </row>
    <row r="80" ht="27.0" customHeight="1">
      <c r="A80" s="92"/>
      <c r="B80" s="82"/>
      <c r="C80" s="82"/>
      <c r="D80" s="86" t="s">
        <v>322</v>
      </c>
      <c r="E80" s="82"/>
      <c r="F80" s="96"/>
      <c r="G80" s="77"/>
      <c r="H80" s="77"/>
      <c r="I80" s="86"/>
      <c r="J80" s="86"/>
      <c r="K80" s="92" t="s">
        <v>247</v>
      </c>
      <c r="L80" s="85">
        <v>8.74</v>
      </c>
      <c r="M80" s="85">
        <v>455.0</v>
      </c>
      <c r="N80" s="85">
        <v>2100.0</v>
      </c>
      <c r="O80" s="85">
        <v>95.0</v>
      </c>
      <c r="P80" s="85">
        <v>12.22</v>
      </c>
      <c r="Q80" s="97" t="s">
        <v>323</v>
      </c>
      <c r="R80" s="82"/>
      <c r="S80" s="76"/>
      <c r="T80" s="87"/>
      <c r="U80" s="88"/>
      <c r="V80" s="88"/>
      <c r="W80" s="88"/>
      <c r="X80" s="88"/>
      <c r="Y80" s="88"/>
      <c r="Z80" s="88"/>
    </row>
    <row r="81" ht="21.75" customHeight="1">
      <c r="A81" s="92"/>
      <c r="B81" s="82"/>
      <c r="C81" s="82"/>
      <c r="D81" s="86" t="s">
        <v>324</v>
      </c>
      <c r="E81" s="82"/>
      <c r="F81" s="96"/>
      <c r="G81" s="77"/>
      <c r="H81" s="77"/>
      <c r="I81" s="86"/>
      <c r="J81" s="86"/>
      <c r="K81" s="92" t="s">
        <v>247</v>
      </c>
      <c r="L81" s="85">
        <v>5.92</v>
      </c>
      <c r="M81" s="85">
        <v>425.0</v>
      </c>
      <c r="N81" s="85">
        <v>2080.0</v>
      </c>
      <c r="O81" s="85">
        <v>140.0</v>
      </c>
      <c r="P81" s="85">
        <v>9.78</v>
      </c>
      <c r="Q81" s="98" t="s">
        <v>325</v>
      </c>
      <c r="R81" s="82"/>
      <c r="S81" s="76"/>
      <c r="T81" s="87"/>
      <c r="U81" s="88"/>
      <c r="V81" s="88"/>
      <c r="W81" s="88"/>
      <c r="X81" s="88"/>
      <c r="Y81" s="88"/>
      <c r="Z81" s="88"/>
    </row>
    <row r="82" ht="21.75" customHeight="1">
      <c r="A82" s="92"/>
      <c r="B82" s="82"/>
      <c r="C82" s="82"/>
      <c r="D82" s="86" t="s">
        <v>326</v>
      </c>
      <c r="E82" s="82"/>
      <c r="F82" s="96"/>
      <c r="G82" s="77"/>
      <c r="H82" s="77"/>
      <c r="I82" s="86"/>
      <c r="J82" s="86"/>
      <c r="K82" s="92" t="s">
        <v>247</v>
      </c>
      <c r="L82" s="84">
        <v>3.02</v>
      </c>
      <c r="M82" s="85">
        <v>431.0</v>
      </c>
      <c r="N82" s="85">
        <v>394.0</v>
      </c>
      <c r="O82" s="85">
        <v>52.0</v>
      </c>
      <c r="P82" s="84">
        <v>3.6</v>
      </c>
      <c r="Q82" s="98" t="s">
        <v>327</v>
      </c>
      <c r="R82" s="82"/>
      <c r="S82" s="76"/>
      <c r="T82" s="87"/>
      <c r="U82" s="88"/>
      <c r="V82" s="88"/>
      <c r="W82" s="88"/>
      <c r="X82" s="88"/>
      <c r="Y82" s="88"/>
      <c r="Z82" s="88"/>
    </row>
    <row r="83" ht="64.5" customHeight="1">
      <c r="A83" s="92"/>
      <c r="B83" s="82"/>
      <c r="C83" s="82" t="s">
        <v>328</v>
      </c>
      <c r="D83" s="86" t="s">
        <v>329</v>
      </c>
      <c r="E83" s="82"/>
      <c r="F83" s="96">
        <v>99000.0</v>
      </c>
      <c r="G83" s="77">
        <f>F83*1.1</f>
        <v>108900</v>
      </c>
      <c r="H83" s="77">
        <f>F83*0.7</f>
        <v>69300</v>
      </c>
      <c r="I83" s="86" t="s">
        <v>330</v>
      </c>
      <c r="J83" s="86" t="s">
        <v>320</v>
      </c>
      <c r="K83" s="92" t="s">
        <v>247</v>
      </c>
      <c r="L83" s="99"/>
      <c r="M83" s="99"/>
      <c r="N83" s="99"/>
      <c r="O83" s="99"/>
      <c r="P83" s="99"/>
      <c r="Q83" s="99"/>
      <c r="R83" s="82"/>
      <c r="S83" s="76" t="s">
        <v>61</v>
      </c>
      <c r="T83" s="87" t="s">
        <v>331</v>
      </c>
      <c r="U83" s="88"/>
      <c r="V83" s="88"/>
      <c r="W83" s="88"/>
      <c r="X83" s="88"/>
      <c r="Y83" s="88"/>
      <c r="Z83" s="88"/>
    </row>
    <row r="84" ht="21.75" customHeight="1">
      <c r="A84" s="92"/>
      <c r="B84" s="82"/>
      <c r="C84" s="82"/>
      <c r="D84" s="86" t="s">
        <v>332</v>
      </c>
      <c r="E84" s="82"/>
      <c r="F84" s="96"/>
      <c r="G84" s="77"/>
      <c r="H84" s="77"/>
      <c r="I84" s="86"/>
      <c r="J84" s="86"/>
      <c r="K84" s="92"/>
      <c r="L84" s="84">
        <v>5.64</v>
      </c>
      <c r="M84" s="85">
        <v>1300.0</v>
      </c>
      <c r="N84" s="85">
        <v>455.0</v>
      </c>
      <c r="O84" s="85">
        <v>100.0</v>
      </c>
      <c r="P84" s="84">
        <v>7.64</v>
      </c>
      <c r="Q84" s="97" t="s">
        <v>323</v>
      </c>
      <c r="R84" s="82"/>
      <c r="S84" s="76"/>
      <c r="T84" s="87"/>
      <c r="U84" s="88"/>
      <c r="V84" s="88"/>
      <c r="W84" s="88"/>
      <c r="X84" s="88"/>
      <c r="Y84" s="88"/>
      <c r="Z84" s="88"/>
    </row>
    <row r="85" ht="21.75" customHeight="1">
      <c r="A85" s="92"/>
      <c r="B85" s="82"/>
      <c r="C85" s="82"/>
      <c r="D85" s="86" t="s">
        <v>333</v>
      </c>
      <c r="E85" s="82"/>
      <c r="F85" s="96"/>
      <c r="G85" s="77"/>
      <c r="H85" s="77"/>
      <c r="I85" s="86"/>
      <c r="J85" s="86"/>
      <c r="K85" s="92"/>
      <c r="L85" s="84">
        <v>3.76</v>
      </c>
      <c r="M85" s="85">
        <v>1270.0</v>
      </c>
      <c r="N85" s="85">
        <v>430.0</v>
      </c>
      <c r="O85" s="85">
        <v>140.0</v>
      </c>
      <c r="P85" s="84">
        <v>6.22</v>
      </c>
      <c r="Q85" s="98" t="s">
        <v>325</v>
      </c>
      <c r="R85" s="82"/>
      <c r="S85" s="76"/>
      <c r="T85" s="87"/>
      <c r="U85" s="88"/>
      <c r="V85" s="88"/>
      <c r="W85" s="88"/>
      <c r="X85" s="88"/>
      <c r="Y85" s="88"/>
      <c r="Z85" s="88"/>
    </row>
    <row r="86" ht="21.75" customHeight="1">
      <c r="A86" s="92"/>
      <c r="B86" s="82"/>
      <c r="C86" s="82"/>
      <c r="D86" s="86" t="s">
        <v>326</v>
      </c>
      <c r="E86" s="82"/>
      <c r="F86" s="96"/>
      <c r="G86" s="77"/>
      <c r="H86" s="77"/>
      <c r="I86" s="86"/>
      <c r="J86" s="86"/>
      <c r="K86" s="92"/>
      <c r="L86" s="84">
        <v>3.02</v>
      </c>
      <c r="M86" s="85">
        <v>431.0</v>
      </c>
      <c r="N86" s="85">
        <v>394.0</v>
      </c>
      <c r="O86" s="85">
        <v>52.0</v>
      </c>
      <c r="P86" s="84">
        <v>3.6</v>
      </c>
      <c r="Q86" s="98" t="s">
        <v>334</v>
      </c>
      <c r="R86" s="82"/>
      <c r="S86" s="76"/>
      <c r="T86" s="87"/>
      <c r="U86" s="88"/>
      <c r="V86" s="88"/>
      <c r="W86" s="88"/>
      <c r="X86" s="88"/>
      <c r="Y86" s="88"/>
      <c r="Z86" s="88"/>
    </row>
    <row r="87" ht="65.25" customHeight="1">
      <c r="A87" s="92">
        <v>293585.0</v>
      </c>
      <c r="B87" s="82"/>
      <c r="C87" s="82" t="s">
        <v>335</v>
      </c>
      <c r="D87" s="76" t="s">
        <v>336</v>
      </c>
      <c r="E87" s="82"/>
      <c r="F87" s="96">
        <v>80000.0</v>
      </c>
      <c r="G87" s="77">
        <f t="shared" ref="G87:G90" si="5">F87*1.1</f>
        <v>88000</v>
      </c>
      <c r="H87" s="77">
        <f t="shared" ref="H87:H90" si="6">F87*0.7</f>
        <v>56000</v>
      </c>
      <c r="I87" s="78" t="s">
        <v>337</v>
      </c>
      <c r="J87" s="78" t="s">
        <v>338</v>
      </c>
      <c r="K87" s="92" t="s">
        <v>247</v>
      </c>
      <c r="L87" s="84">
        <v>18.45</v>
      </c>
      <c r="M87" s="91">
        <v>1946.0</v>
      </c>
      <c r="N87" s="91">
        <v>932.0</v>
      </c>
      <c r="O87" s="91">
        <v>81.0</v>
      </c>
      <c r="P87" s="84">
        <v>23.19</v>
      </c>
      <c r="Q87" s="84"/>
      <c r="R87" s="82">
        <v>1.0</v>
      </c>
      <c r="S87" s="76" t="s">
        <v>61</v>
      </c>
      <c r="T87" s="82"/>
      <c r="U87" s="88"/>
      <c r="V87" s="88"/>
      <c r="W87" s="88"/>
      <c r="X87" s="88"/>
      <c r="Y87" s="88"/>
      <c r="Z87" s="88"/>
    </row>
    <row r="88" ht="65.25" customHeight="1">
      <c r="A88" s="92">
        <v>293592.0</v>
      </c>
      <c r="B88" s="82"/>
      <c r="C88" s="82" t="s">
        <v>339</v>
      </c>
      <c r="D88" s="76" t="s">
        <v>340</v>
      </c>
      <c r="E88" s="82"/>
      <c r="F88" s="96">
        <v>95000.0</v>
      </c>
      <c r="G88" s="77">
        <f t="shared" si="5"/>
        <v>104500</v>
      </c>
      <c r="H88" s="77">
        <f t="shared" si="6"/>
        <v>66500</v>
      </c>
      <c r="I88" s="78" t="s">
        <v>337</v>
      </c>
      <c r="J88" s="78" t="s">
        <v>341</v>
      </c>
      <c r="K88" s="92" t="s">
        <v>247</v>
      </c>
      <c r="L88" s="84">
        <v>16.31</v>
      </c>
      <c r="M88" s="91">
        <v>1838.0</v>
      </c>
      <c r="N88" s="91">
        <v>932.0</v>
      </c>
      <c r="O88" s="91">
        <v>81.0</v>
      </c>
      <c r="P88" s="84">
        <v>20.85</v>
      </c>
      <c r="Q88" s="84"/>
      <c r="R88" s="82">
        <v>1.0</v>
      </c>
      <c r="S88" s="76" t="s">
        <v>61</v>
      </c>
      <c r="T88" s="82"/>
      <c r="U88" s="88"/>
      <c r="V88" s="88"/>
      <c r="W88" s="88"/>
      <c r="X88" s="88"/>
      <c r="Y88" s="88"/>
      <c r="Z88" s="88"/>
    </row>
    <row r="89" ht="65.25" customHeight="1">
      <c r="A89" s="92">
        <v>293608.0</v>
      </c>
      <c r="B89" s="82"/>
      <c r="C89" s="82" t="s">
        <v>342</v>
      </c>
      <c r="D89" s="76" t="s">
        <v>343</v>
      </c>
      <c r="E89" s="82"/>
      <c r="F89" s="96">
        <v>105000.0</v>
      </c>
      <c r="G89" s="77">
        <f t="shared" si="5"/>
        <v>115500</v>
      </c>
      <c r="H89" s="77">
        <f t="shared" si="6"/>
        <v>73500</v>
      </c>
      <c r="I89" s="78" t="s">
        <v>344</v>
      </c>
      <c r="J89" s="78" t="s">
        <v>345</v>
      </c>
      <c r="K89" s="92" t="s">
        <v>247</v>
      </c>
      <c r="L89" s="84">
        <v>27.91</v>
      </c>
      <c r="M89" s="91">
        <v>1838.0</v>
      </c>
      <c r="N89" s="91">
        <v>1232.0</v>
      </c>
      <c r="O89" s="91">
        <v>81.0</v>
      </c>
      <c r="P89" s="84">
        <v>34.28</v>
      </c>
      <c r="Q89" s="84"/>
      <c r="R89" s="82">
        <v>1.0</v>
      </c>
      <c r="S89" s="76" t="s">
        <v>61</v>
      </c>
      <c r="T89" s="82"/>
      <c r="U89" s="88"/>
      <c r="V89" s="88"/>
      <c r="W89" s="88"/>
      <c r="X89" s="88"/>
      <c r="Y89" s="88"/>
      <c r="Z89" s="88"/>
    </row>
    <row r="90" ht="65.25" customHeight="1">
      <c r="A90" s="79" t="s">
        <v>346</v>
      </c>
      <c r="B90" s="82"/>
      <c r="C90" s="76" t="s">
        <v>347</v>
      </c>
      <c r="D90" s="86" t="s">
        <v>348</v>
      </c>
      <c r="E90" s="82"/>
      <c r="F90" s="83">
        <v>233000.0</v>
      </c>
      <c r="G90" s="77">
        <f t="shared" si="5"/>
        <v>256300</v>
      </c>
      <c r="H90" s="77">
        <f t="shared" si="6"/>
        <v>163100</v>
      </c>
      <c r="I90" s="78" t="s">
        <v>349</v>
      </c>
      <c r="J90" s="82" t="s">
        <v>350</v>
      </c>
      <c r="K90" s="82"/>
      <c r="L90" s="100">
        <v>75.0</v>
      </c>
      <c r="M90" s="99"/>
      <c r="N90" s="99"/>
      <c r="O90" s="99"/>
      <c r="P90" s="99"/>
      <c r="Q90" s="99"/>
      <c r="R90" s="82"/>
      <c r="S90" s="76" t="s">
        <v>61</v>
      </c>
      <c r="T90" s="82" t="s">
        <v>351</v>
      </c>
      <c r="U90" s="88"/>
      <c r="V90" s="88"/>
      <c r="W90" s="88"/>
      <c r="X90" s="88"/>
      <c r="Y90" s="88"/>
      <c r="Z90" s="88"/>
    </row>
    <row r="91" ht="18.0" customHeight="1">
      <c r="A91" s="79"/>
      <c r="B91" s="82"/>
      <c r="C91" s="76"/>
      <c r="D91" s="86"/>
      <c r="E91" s="82"/>
      <c r="F91" s="83"/>
      <c r="G91" s="77"/>
      <c r="H91" s="77"/>
      <c r="I91" s="78"/>
      <c r="J91" s="82"/>
      <c r="K91" s="82"/>
      <c r="L91" s="99"/>
      <c r="M91" s="99">
        <v>1320.0</v>
      </c>
      <c r="N91" s="99">
        <v>450.0</v>
      </c>
      <c r="O91" s="99">
        <v>205.0</v>
      </c>
      <c r="P91" s="99"/>
      <c r="Q91" s="99"/>
      <c r="R91" s="82"/>
      <c r="S91" s="76"/>
      <c r="T91" s="82"/>
      <c r="U91" s="88"/>
      <c r="V91" s="88"/>
      <c r="W91" s="88"/>
      <c r="X91" s="88"/>
      <c r="Y91" s="88"/>
      <c r="Z91" s="88"/>
    </row>
    <row r="92" ht="18.0" customHeight="1">
      <c r="A92" s="79"/>
      <c r="B92" s="82"/>
      <c r="C92" s="76"/>
      <c r="D92" s="86"/>
      <c r="E92" s="82"/>
      <c r="F92" s="83"/>
      <c r="G92" s="77"/>
      <c r="H92" s="77"/>
      <c r="I92" s="78"/>
      <c r="J92" s="82"/>
      <c r="K92" s="82"/>
      <c r="L92" s="99"/>
      <c r="M92" s="99">
        <v>1930.0</v>
      </c>
      <c r="N92" s="99">
        <v>445.0</v>
      </c>
      <c r="O92" s="99">
        <v>65.0</v>
      </c>
      <c r="P92" s="99"/>
      <c r="Q92" s="99"/>
      <c r="R92" s="82"/>
      <c r="S92" s="76"/>
      <c r="T92" s="82"/>
      <c r="U92" s="88"/>
      <c r="V92" s="88"/>
      <c r="W92" s="88"/>
      <c r="X92" s="88"/>
      <c r="Y92" s="88"/>
      <c r="Z92" s="88"/>
    </row>
    <row r="93" ht="18.0" customHeight="1">
      <c r="A93" s="79"/>
      <c r="B93" s="82"/>
      <c r="C93" s="76"/>
      <c r="D93" s="86"/>
      <c r="E93" s="82"/>
      <c r="F93" s="83"/>
      <c r="G93" s="77"/>
      <c r="H93" s="77"/>
      <c r="I93" s="78"/>
      <c r="J93" s="82"/>
      <c r="K93" s="82"/>
      <c r="L93" s="99"/>
      <c r="M93" s="99">
        <v>1910.0</v>
      </c>
      <c r="N93" s="99">
        <v>670.0</v>
      </c>
      <c r="O93" s="99">
        <v>60.0</v>
      </c>
      <c r="P93" s="99"/>
      <c r="Q93" s="99"/>
      <c r="R93" s="82"/>
      <c r="S93" s="76"/>
      <c r="T93" s="82"/>
      <c r="U93" s="88"/>
      <c r="V93" s="88"/>
      <c r="W93" s="88"/>
      <c r="X93" s="88"/>
      <c r="Y93" s="88"/>
      <c r="Z93" s="88"/>
    </row>
    <row r="94" ht="18.0" customHeight="1">
      <c r="A94" s="79"/>
      <c r="B94" s="82"/>
      <c r="C94" s="76"/>
      <c r="D94" s="86"/>
      <c r="E94" s="82"/>
      <c r="F94" s="83"/>
      <c r="G94" s="77"/>
      <c r="H94" s="77"/>
      <c r="I94" s="78"/>
      <c r="J94" s="82"/>
      <c r="K94" s="82"/>
      <c r="L94" s="99"/>
      <c r="M94" s="99">
        <v>1900.0</v>
      </c>
      <c r="N94" s="99">
        <v>690.0</v>
      </c>
      <c r="O94" s="99">
        <v>60.0</v>
      </c>
      <c r="P94" s="99"/>
      <c r="Q94" s="99"/>
      <c r="R94" s="82"/>
      <c r="S94" s="76"/>
      <c r="T94" s="82"/>
      <c r="U94" s="88"/>
      <c r="V94" s="88"/>
      <c r="W94" s="88"/>
      <c r="X94" s="88"/>
      <c r="Y94" s="88"/>
      <c r="Z94" s="88"/>
    </row>
    <row r="95" ht="65.25" customHeight="1">
      <c r="A95" s="79">
        <v>284118.0</v>
      </c>
      <c r="B95" s="82"/>
      <c r="C95" s="76" t="s">
        <v>352</v>
      </c>
      <c r="D95" s="86" t="s">
        <v>353</v>
      </c>
      <c r="E95" s="82"/>
      <c r="F95" s="83">
        <v>187000.0</v>
      </c>
      <c r="G95" s="77">
        <f>F95*1.1</f>
        <v>205700</v>
      </c>
      <c r="H95" s="77">
        <f>F95*0.7</f>
        <v>130900</v>
      </c>
      <c r="I95" s="78" t="s">
        <v>354</v>
      </c>
      <c r="J95" s="82" t="s">
        <v>355</v>
      </c>
      <c r="K95" s="82"/>
      <c r="L95" s="100">
        <v>50.0</v>
      </c>
      <c r="M95" s="99"/>
      <c r="N95" s="99"/>
      <c r="O95" s="99"/>
      <c r="P95" s="99"/>
      <c r="Q95" s="99"/>
      <c r="R95" s="82"/>
      <c r="S95" s="76" t="s">
        <v>61</v>
      </c>
      <c r="T95" s="82" t="s">
        <v>351</v>
      </c>
      <c r="U95" s="88"/>
      <c r="V95" s="88"/>
      <c r="W95" s="88"/>
      <c r="X95" s="88"/>
      <c r="Y95" s="88"/>
      <c r="Z95" s="88"/>
    </row>
    <row r="96" ht="18.0" customHeight="1">
      <c r="A96" s="79"/>
      <c r="B96" s="82"/>
      <c r="C96" s="76"/>
      <c r="D96" s="86"/>
      <c r="E96" s="82"/>
      <c r="F96" s="83"/>
      <c r="G96" s="77"/>
      <c r="H96" s="77"/>
      <c r="I96" s="78"/>
      <c r="J96" s="82"/>
      <c r="K96" s="82"/>
      <c r="L96" s="99"/>
      <c r="M96" s="99">
        <v>1310.0</v>
      </c>
      <c r="N96" s="99">
        <v>450.0</v>
      </c>
      <c r="O96" s="99">
        <v>140.0</v>
      </c>
      <c r="P96" s="99"/>
      <c r="Q96" s="99"/>
      <c r="R96" s="82"/>
      <c r="S96" s="76"/>
      <c r="T96" s="82"/>
      <c r="U96" s="88"/>
      <c r="V96" s="88"/>
      <c r="W96" s="88"/>
      <c r="X96" s="88"/>
      <c r="Y96" s="88"/>
      <c r="Z96" s="88"/>
    </row>
    <row r="97" ht="18.0" customHeight="1">
      <c r="A97" s="79"/>
      <c r="B97" s="82"/>
      <c r="C97" s="76"/>
      <c r="D97" s="86"/>
      <c r="E97" s="82"/>
      <c r="F97" s="83"/>
      <c r="G97" s="77"/>
      <c r="H97" s="77"/>
      <c r="I97" s="78"/>
      <c r="J97" s="82"/>
      <c r="K97" s="82"/>
      <c r="L97" s="99"/>
      <c r="M97" s="99">
        <v>1190.0</v>
      </c>
      <c r="N97" s="99">
        <v>640.0</v>
      </c>
      <c r="O97" s="99">
        <v>170.0</v>
      </c>
      <c r="P97" s="99"/>
      <c r="Q97" s="99"/>
      <c r="R97" s="82"/>
      <c r="S97" s="76"/>
      <c r="T97" s="82"/>
      <c r="U97" s="88"/>
      <c r="V97" s="88"/>
      <c r="W97" s="88"/>
      <c r="X97" s="88"/>
      <c r="Y97" s="88"/>
      <c r="Z97" s="88"/>
    </row>
    <row r="98" ht="65.25" customHeight="1">
      <c r="A98" s="79">
        <v>293820.0</v>
      </c>
      <c r="B98" s="82"/>
      <c r="C98" s="76" t="s">
        <v>356</v>
      </c>
      <c r="D98" s="76" t="s">
        <v>356</v>
      </c>
      <c r="E98" s="82"/>
      <c r="F98" s="83">
        <v>94000.0</v>
      </c>
      <c r="G98" s="77">
        <f>F98*1.1</f>
        <v>103400</v>
      </c>
      <c r="H98" s="77">
        <f>F98*0.7</f>
        <v>65800</v>
      </c>
      <c r="I98" s="78" t="s">
        <v>357</v>
      </c>
      <c r="J98" s="78" t="s">
        <v>272</v>
      </c>
      <c r="K98" s="82"/>
      <c r="L98" s="84">
        <v>43.85</v>
      </c>
      <c r="M98" s="91">
        <v>1062.0</v>
      </c>
      <c r="N98" s="91">
        <v>562.0</v>
      </c>
      <c r="O98" s="91">
        <v>1065.0</v>
      </c>
      <c r="P98" s="84">
        <v>50.9</v>
      </c>
      <c r="Q98" s="84"/>
      <c r="R98" s="82">
        <v>1.0</v>
      </c>
      <c r="S98" s="82"/>
      <c r="T98" s="90" t="s">
        <v>358</v>
      </c>
      <c r="U98" s="88"/>
      <c r="V98" s="88"/>
      <c r="W98" s="88"/>
      <c r="X98" s="88"/>
      <c r="Y98" s="88"/>
      <c r="Z98" s="88"/>
    </row>
    <row r="99" ht="18.0" customHeight="1">
      <c r="A99" s="101" t="s">
        <v>359</v>
      </c>
      <c r="B99" s="82"/>
      <c r="C99" s="91" t="s">
        <v>360</v>
      </c>
      <c r="D99" s="91" t="s">
        <v>361</v>
      </c>
      <c r="E99" s="99"/>
      <c r="F99" s="102"/>
      <c r="G99" s="103"/>
      <c r="H99" s="103">
        <v>12900.0</v>
      </c>
      <c r="I99" s="78"/>
      <c r="J99" s="78"/>
      <c r="K99" s="82"/>
      <c r="L99" s="82"/>
      <c r="M99" s="82"/>
      <c r="N99" s="82"/>
      <c r="O99" s="82"/>
      <c r="P99" s="82"/>
      <c r="Q99" s="82"/>
      <c r="R99" s="82"/>
      <c r="S99" s="82"/>
      <c r="T99" s="90"/>
      <c r="U99" s="88"/>
      <c r="V99" s="88"/>
      <c r="W99" s="88"/>
      <c r="X99" s="88"/>
      <c r="Y99" s="88"/>
      <c r="Z99" s="88"/>
    </row>
    <row r="100" ht="65.25" customHeight="1">
      <c r="A100" s="79">
        <v>293813.0</v>
      </c>
      <c r="B100" s="82"/>
      <c r="C100" s="76" t="s">
        <v>362</v>
      </c>
      <c r="D100" s="76" t="s">
        <v>362</v>
      </c>
      <c r="E100" s="82"/>
      <c r="F100" s="83">
        <v>94000.0</v>
      </c>
      <c r="G100" s="77">
        <f>F100*1.1</f>
        <v>103400</v>
      </c>
      <c r="H100" s="77">
        <f>F100*0.7</f>
        <v>65800</v>
      </c>
      <c r="I100" s="78" t="s">
        <v>357</v>
      </c>
      <c r="J100" s="78" t="s">
        <v>272</v>
      </c>
      <c r="K100" s="82"/>
      <c r="L100" s="84">
        <v>43.85</v>
      </c>
      <c r="M100" s="91">
        <v>1062.0</v>
      </c>
      <c r="N100" s="91">
        <v>562.0</v>
      </c>
      <c r="O100" s="91">
        <v>1065.0</v>
      </c>
      <c r="P100" s="84">
        <v>50.9</v>
      </c>
      <c r="Q100" s="84"/>
      <c r="R100" s="82">
        <v>1.0</v>
      </c>
      <c r="S100" s="82"/>
      <c r="T100" s="90" t="s">
        <v>358</v>
      </c>
      <c r="U100" s="88"/>
      <c r="V100" s="88"/>
      <c r="W100" s="88"/>
      <c r="X100" s="88"/>
      <c r="Y100" s="88"/>
      <c r="Z100" s="88"/>
    </row>
    <row r="101" ht="18.75" customHeight="1">
      <c r="A101" s="79"/>
      <c r="B101" s="82"/>
      <c r="C101" s="91" t="s">
        <v>360</v>
      </c>
      <c r="D101" s="91" t="s">
        <v>361</v>
      </c>
      <c r="E101" s="99"/>
      <c r="F101" s="102"/>
      <c r="G101" s="103"/>
      <c r="H101" s="103">
        <v>12900.0</v>
      </c>
      <c r="I101" s="78"/>
      <c r="J101" s="78"/>
      <c r="K101" s="82"/>
      <c r="L101" s="84"/>
      <c r="M101" s="91"/>
      <c r="N101" s="91"/>
      <c r="O101" s="91"/>
      <c r="P101" s="84"/>
      <c r="Q101" s="84"/>
      <c r="R101" s="82"/>
      <c r="S101" s="82"/>
      <c r="T101" s="90"/>
      <c r="U101" s="88"/>
      <c r="V101" s="88"/>
      <c r="W101" s="88"/>
      <c r="X101" s="88"/>
      <c r="Y101" s="88"/>
      <c r="Z101" s="88"/>
    </row>
    <row r="102" ht="65.25" customHeight="1">
      <c r="A102" s="79">
        <v>293844.0</v>
      </c>
      <c r="B102" s="82"/>
      <c r="C102" s="76" t="s">
        <v>363</v>
      </c>
      <c r="D102" s="76" t="s">
        <v>364</v>
      </c>
      <c r="E102" s="82"/>
      <c r="F102" s="83">
        <v>97000.0</v>
      </c>
      <c r="G102" s="77">
        <f t="shared" ref="G102:G104" si="7">F102*1.1</f>
        <v>106700</v>
      </c>
      <c r="H102" s="77">
        <f t="shared" ref="H102:H104" si="8">F102*0.7</f>
        <v>67900</v>
      </c>
      <c r="I102" s="78" t="s">
        <v>357</v>
      </c>
      <c r="J102" s="78" t="s">
        <v>365</v>
      </c>
      <c r="K102" s="82"/>
      <c r="L102" s="84">
        <v>58.3</v>
      </c>
      <c r="M102" s="91">
        <v>1062.0</v>
      </c>
      <c r="N102" s="91">
        <v>562.0</v>
      </c>
      <c r="O102" s="91">
        <v>1065.0</v>
      </c>
      <c r="P102" s="84">
        <v>65.3</v>
      </c>
      <c r="Q102" s="84"/>
      <c r="R102" s="82">
        <v>1.0</v>
      </c>
      <c r="S102" s="82"/>
      <c r="T102" s="90" t="s">
        <v>366</v>
      </c>
      <c r="U102" s="88"/>
      <c r="V102" s="88"/>
      <c r="W102" s="88"/>
      <c r="X102" s="88"/>
      <c r="Y102" s="88"/>
      <c r="Z102" s="88"/>
    </row>
    <row r="103" ht="65.25" customHeight="1">
      <c r="A103" s="79">
        <v>293837.0</v>
      </c>
      <c r="B103" s="82"/>
      <c r="C103" s="76" t="s">
        <v>367</v>
      </c>
      <c r="D103" s="76" t="s">
        <v>368</v>
      </c>
      <c r="E103" s="82"/>
      <c r="F103" s="83">
        <v>97000.0</v>
      </c>
      <c r="G103" s="77">
        <f t="shared" si="7"/>
        <v>106700</v>
      </c>
      <c r="H103" s="77">
        <f t="shared" si="8"/>
        <v>67900</v>
      </c>
      <c r="I103" s="78" t="s">
        <v>357</v>
      </c>
      <c r="J103" s="78" t="s">
        <v>365</v>
      </c>
      <c r="K103" s="82"/>
      <c r="L103" s="84">
        <v>58.3</v>
      </c>
      <c r="M103" s="91">
        <v>1062.0</v>
      </c>
      <c r="N103" s="91">
        <v>562.0</v>
      </c>
      <c r="O103" s="91">
        <v>1065.0</v>
      </c>
      <c r="P103" s="84">
        <v>65.3</v>
      </c>
      <c r="Q103" s="84"/>
      <c r="R103" s="82">
        <v>1.0</v>
      </c>
      <c r="S103" s="82"/>
      <c r="T103" s="90" t="s">
        <v>366</v>
      </c>
      <c r="U103" s="88"/>
      <c r="V103" s="88"/>
      <c r="W103" s="88"/>
      <c r="X103" s="88"/>
      <c r="Y103" s="88"/>
      <c r="Z103" s="88"/>
    </row>
    <row r="104" ht="65.25" customHeight="1">
      <c r="A104" s="104"/>
      <c r="B104" s="82"/>
      <c r="C104" s="105" t="s">
        <v>369</v>
      </c>
      <c r="D104" s="105" t="s">
        <v>370</v>
      </c>
      <c r="E104" s="82"/>
      <c r="F104" s="83">
        <v>80000.0</v>
      </c>
      <c r="G104" s="77">
        <f t="shared" si="7"/>
        <v>88000</v>
      </c>
      <c r="H104" s="77">
        <f t="shared" si="8"/>
        <v>56000</v>
      </c>
      <c r="I104" s="86" t="s">
        <v>371</v>
      </c>
      <c r="J104" s="86" t="s">
        <v>372</v>
      </c>
      <c r="K104" s="82"/>
      <c r="L104" s="82"/>
      <c r="M104" s="99"/>
      <c r="N104" s="99"/>
      <c r="O104" s="99"/>
      <c r="P104" s="99"/>
      <c r="Q104" s="99"/>
      <c r="R104" s="82"/>
      <c r="S104" s="76" t="s">
        <v>61</v>
      </c>
      <c r="T104" s="90" t="s">
        <v>373</v>
      </c>
      <c r="U104" s="88"/>
      <c r="V104" s="88"/>
      <c r="W104" s="88"/>
      <c r="X104" s="88"/>
      <c r="Y104" s="88"/>
      <c r="Z104" s="88"/>
    </row>
    <row r="105" ht="20.25" customHeight="1">
      <c r="A105" s="104"/>
      <c r="B105" s="82"/>
      <c r="C105" s="105"/>
      <c r="D105" s="105"/>
      <c r="E105" s="82"/>
      <c r="F105" s="83"/>
      <c r="G105" s="77"/>
      <c r="H105" s="77"/>
      <c r="I105" s="86"/>
      <c r="J105" s="86" t="s">
        <v>374</v>
      </c>
      <c r="K105" s="82"/>
      <c r="L105" s="99"/>
      <c r="M105" s="99">
        <v>1220.0</v>
      </c>
      <c r="N105" s="99">
        <v>440.0</v>
      </c>
      <c r="O105" s="99">
        <v>940.0</v>
      </c>
      <c r="P105" s="99"/>
      <c r="Q105" s="99"/>
      <c r="R105" s="82"/>
      <c r="S105" s="76"/>
      <c r="T105" s="90"/>
      <c r="U105" s="88"/>
      <c r="V105" s="88"/>
      <c r="W105" s="88"/>
      <c r="X105" s="88"/>
      <c r="Y105" s="88"/>
      <c r="Z105" s="88"/>
    </row>
    <row r="106" ht="20.25" customHeight="1">
      <c r="A106" s="104"/>
      <c r="B106" s="82"/>
      <c r="C106" s="105"/>
      <c r="D106" s="105"/>
      <c r="E106" s="82"/>
      <c r="F106" s="83"/>
      <c r="G106" s="77"/>
      <c r="H106" s="77"/>
      <c r="I106" s="86"/>
      <c r="J106" s="86" t="s">
        <v>375</v>
      </c>
      <c r="K106" s="82"/>
      <c r="L106" s="99"/>
      <c r="M106" s="99">
        <v>1220.0</v>
      </c>
      <c r="N106" s="99">
        <v>440.0</v>
      </c>
      <c r="O106" s="99">
        <v>390.0</v>
      </c>
      <c r="P106" s="99"/>
      <c r="Q106" s="99"/>
      <c r="R106" s="82"/>
      <c r="S106" s="76"/>
      <c r="T106" s="90"/>
      <c r="U106" s="88"/>
      <c r="V106" s="88"/>
      <c r="W106" s="88"/>
      <c r="X106" s="88"/>
      <c r="Y106" s="88"/>
      <c r="Z106" s="88"/>
    </row>
    <row r="107" ht="65.25" customHeight="1">
      <c r="A107" s="104"/>
      <c r="B107" s="82"/>
      <c r="C107" s="105" t="s">
        <v>376</v>
      </c>
      <c r="D107" s="105" t="s">
        <v>377</v>
      </c>
      <c r="E107" s="82"/>
      <c r="F107" s="83">
        <v>92000.0</v>
      </c>
      <c r="G107" s="77">
        <f>F107*1.1</f>
        <v>101200</v>
      </c>
      <c r="H107" s="77">
        <f>F107*0.7</f>
        <v>64400</v>
      </c>
      <c r="I107" s="86" t="s">
        <v>378</v>
      </c>
      <c r="J107" s="86" t="s">
        <v>372</v>
      </c>
      <c r="K107" s="82"/>
      <c r="L107" s="82"/>
      <c r="M107" s="99"/>
      <c r="N107" s="99"/>
      <c r="O107" s="99"/>
      <c r="P107" s="99"/>
      <c r="Q107" s="99"/>
      <c r="R107" s="82"/>
      <c r="S107" s="76" t="s">
        <v>61</v>
      </c>
      <c r="T107" s="90" t="s">
        <v>373</v>
      </c>
      <c r="U107" s="88"/>
      <c r="V107" s="88"/>
      <c r="W107" s="88"/>
      <c r="X107" s="88"/>
      <c r="Y107" s="88"/>
      <c r="Z107" s="88"/>
    </row>
    <row r="108" ht="18.0" customHeight="1">
      <c r="A108" s="104"/>
      <c r="B108" s="82"/>
      <c r="C108" s="105"/>
      <c r="D108" s="105"/>
      <c r="E108" s="82"/>
      <c r="F108" s="83"/>
      <c r="G108" s="77"/>
      <c r="H108" s="77"/>
      <c r="I108" s="86"/>
      <c r="J108" s="86" t="s">
        <v>374</v>
      </c>
      <c r="K108" s="82"/>
      <c r="L108" s="99"/>
      <c r="M108" s="99">
        <v>1220.0</v>
      </c>
      <c r="N108" s="99">
        <v>440.0</v>
      </c>
      <c r="O108" s="99">
        <v>940.0</v>
      </c>
      <c r="P108" s="99"/>
      <c r="Q108" s="99"/>
      <c r="R108" s="82"/>
      <c r="S108" s="76"/>
      <c r="T108" s="90"/>
      <c r="U108" s="88"/>
      <c r="V108" s="88"/>
      <c r="W108" s="88"/>
      <c r="X108" s="88"/>
      <c r="Y108" s="88"/>
      <c r="Z108" s="88"/>
    </row>
    <row r="109" ht="18.0" customHeight="1">
      <c r="A109" s="104"/>
      <c r="B109" s="82"/>
      <c r="C109" s="105"/>
      <c r="D109" s="105"/>
      <c r="E109" s="82"/>
      <c r="F109" s="83"/>
      <c r="G109" s="77"/>
      <c r="H109" s="77"/>
      <c r="I109" s="86"/>
      <c r="J109" s="86" t="s">
        <v>375</v>
      </c>
      <c r="K109" s="82"/>
      <c r="L109" s="99"/>
      <c r="M109" s="99">
        <v>1220.0</v>
      </c>
      <c r="N109" s="99">
        <v>440.0</v>
      </c>
      <c r="O109" s="99">
        <v>390.0</v>
      </c>
      <c r="P109" s="99"/>
      <c r="Q109" s="99"/>
      <c r="R109" s="82"/>
      <c r="S109" s="76"/>
      <c r="T109" s="90"/>
      <c r="U109" s="88"/>
      <c r="V109" s="88"/>
      <c r="W109" s="88"/>
      <c r="X109" s="88"/>
      <c r="Y109" s="88"/>
      <c r="Z109" s="88"/>
    </row>
    <row r="110" ht="65.25" customHeight="1">
      <c r="A110" s="104"/>
      <c r="B110" s="82"/>
      <c r="C110" s="105" t="s">
        <v>379</v>
      </c>
      <c r="D110" s="105" t="s">
        <v>380</v>
      </c>
      <c r="E110" s="82"/>
      <c r="F110" s="83">
        <v>92000.0</v>
      </c>
      <c r="G110" s="77">
        <f>F110*1.1</f>
        <v>101200</v>
      </c>
      <c r="H110" s="77">
        <f>F110*0.7</f>
        <v>64400</v>
      </c>
      <c r="I110" s="86" t="s">
        <v>381</v>
      </c>
      <c r="J110" s="86" t="s">
        <v>372</v>
      </c>
      <c r="K110" s="82"/>
      <c r="L110" s="82"/>
      <c r="M110" s="99"/>
      <c r="N110" s="99"/>
      <c r="O110" s="99"/>
      <c r="P110" s="99"/>
      <c r="Q110" s="99"/>
      <c r="R110" s="82"/>
      <c r="S110" s="76" t="s">
        <v>61</v>
      </c>
      <c r="T110" s="90" t="s">
        <v>373</v>
      </c>
      <c r="U110" s="88"/>
      <c r="V110" s="88"/>
      <c r="W110" s="88"/>
      <c r="X110" s="88"/>
      <c r="Y110" s="88"/>
      <c r="Z110" s="88"/>
    </row>
    <row r="111" ht="18.0" customHeight="1">
      <c r="A111" s="104"/>
      <c r="B111" s="82"/>
      <c r="C111" s="105"/>
      <c r="D111" s="105"/>
      <c r="E111" s="82"/>
      <c r="F111" s="83"/>
      <c r="G111" s="77"/>
      <c r="H111" s="77"/>
      <c r="I111" s="86"/>
      <c r="J111" s="86" t="s">
        <v>374</v>
      </c>
      <c r="K111" s="82"/>
      <c r="L111" s="99"/>
      <c r="M111" s="99">
        <v>1220.0</v>
      </c>
      <c r="N111" s="99">
        <v>440.0</v>
      </c>
      <c r="O111" s="99">
        <v>940.0</v>
      </c>
      <c r="P111" s="99"/>
      <c r="Q111" s="99"/>
      <c r="R111" s="82"/>
      <c r="S111" s="76"/>
      <c r="T111" s="90"/>
      <c r="U111" s="88"/>
      <c r="V111" s="88"/>
      <c r="W111" s="88"/>
      <c r="X111" s="88"/>
      <c r="Y111" s="88"/>
      <c r="Z111" s="88"/>
    </row>
    <row r="112" ht="18.0" customHeight="1">
      <c r="A112" s="104"/>
      <c r="B112" s="82"/>
      <c r="C112" s="105"/>
      <c r="D112" s="105"/>
      <c r="E112" s="82"/>
      <c r="F112" s="83"/>
      <c r="G112" s="77"/>
      <c r="H112" s="77"/>
      <c r="I112" s="86"/>
      <c r="J112" s="86" t="s">
        <v>375</v>
      </c>
      <c r="K112" s="82"/>
      <c r="L112" s="99"/>
      <c r="M112" s="99">
        <v>1220.0</v>
      </c>
      <c r="N112" s="99">
        <v>440.0</v>
      </c>
      <c r="O112" s="99">
        <v>390.0</v>
      </c>
      <c r="P112" s="99"/>
      <c r="Q112" s="99"/>
      <c r="R112" s="82"/>
      <c r="S112" s="76"/>
      <c r="T112" s="90"/>
      <c r="U112" s="88"/>
      <c r="V112" s="88"/>
      <c r="W112" s="88"/>
      <c r="X112" s="88"/>
      <c r="Y112" s="88"/>
      <c r="Z112" s="88"/>
    </row>
    <row r="113" ht="65.25" customHeight="1">
      <c r="A113" s="104"/>
      <c r="B113" s="82"/>
      <c r="C113" s="105" t="s">
        <v>382</v>
      </c>
      <c r="D113" s="105" t="s">
        <v>383</v>
      </c>
      <c r="E113" s="82"/>
      <c r="F113" s="83">
        <v>184000.0</v>
      </c>
      <c r="G113" s="77">
        <f>F113*1.1</f>
        <v>202400</v>
      </c>
      <c r="H113" s="77">
        <f>F113*0.7</f>
        <v>128800</v>
      </c>
      <c r="I113" s="86" t="s">
        <v>384</v>
      </c>
      <c r="J113" s="86" t="s">
        <v>385</v>
      </c>
      <c r="K113" s="82"/>
      <c r="L113" s="82"/>
      <c r="M113" s="99"/>
      <c r="N113" s="99"/>
      <c r="O113" s="99"/>
      <c r="P113" s="99"/>
      <c r="Q113" s="99"/>
      <c r="R113" s="82"/>
      <c r="S113" s="76" t="s">
        <v>61</v>
      </c>
      <c r="T113" s="82" t="s">
        <v>386</v>
      </c>
      <c r="U113" s="88"/>
      <c r="V113" s="88"/>
      <c r="W113" s="88"/>
      <c r="X113" s="88"/>
      <c r="Y113" s="88"/>
      <c r="Z113" s="88"/>
    </row>
    <row r="114" ht="18.0" customHeight="1">
      <c r="A114" s="104"/>
      <c r="B114" s="82"/>
      <c r="C114" s="105"/>
      <c r="D114" s="105"/>
      <c r="E114" s="82"/>
      <c r="F114" s="83"/>
      <c r="G114" s="77"/>
      <c r="H114" s="77"/>
      <c r="I114" s="86"/>
      <c r="J114" s="86" t="s">
        <v>374</v>
      </c>
      <c r="K114" s="82"/>
      <c r="L114" s="99"/>
      <c r="M114" s="99">
        <v>1220.0</v>
      </c>
      <c r="N114" s="99">
        <v>440.0</v>
      </c>
      <c r="O114" s="99">
        <v>940.0</v>
      </c>
      <c r="P114" s="99"/>
      <c r="Q114" s="99"/>
      <c r="R114" s="82"/>
      <c r="S114" s="76"/>
      <c r="T114" s="82"/>
      <c r="U114" s="88"/>
      <c r="V114" s="88"/>
      <c r="W114" s="88"/>
      <c r="X114" s="88"/>
      <c r="Y114" s="88"/>
      <c r="Z114" s="88"/>
    </row>
    <row r="115" ht="18.0" customHeight="1">
      <c r="A115" s="104"/>
      <c r="B115" s="82"/>
      <c r="C115" s="105"/>
      <c r="D115" s="105"/>
      <c r="E115" s="82"/>
      <c r="F115" s="83"/>
      <c r="G115" s="77"/>
      <c r="H115" s="77"/>
      <c r="I115" s="86"/>
      <c r="J115" s="86" t="s">
        <v>375</v>
      </c>
      <c r="K115" s="82"/>
      <c r="L115" s="99"/>
      <c r="M115" s="99">
        <v>1220.0</v>
      </c>
      <c r="N115" s="99">
        <v>440.0</v>
      </c>
      <c r="O115" s="99">
        <v>390.0</v>
      </c>
      <c r="P115" s="99"/>
      <c r="Q115" s="99"/>
      <c r="R115" s="82"/>
      <c r="S115" s="76"/>
      <c r="T115" s="82"/>
      <c r="U115" s="88"/>
      <c r="V115" s="88"/>
      <c r="W115" s="88"/>
      <c r="X115" s="88"/>
      <c r="Y115" s="88"/>
      <c r="Z115" s="88"/>
    </row>
    <row r="116" ht="65.25" customHeight="1">
      <c r="A116" s="104"/>
      <c r="B116" s="82"/>
      <c r="C116" s="105" t="s">
        <v>387</v>
      </c>
      <c r="D116" s="105" t="s">
        <v>388</v>
      </c>
      <c r="E116" s="82"/>
      <c r="F116" s="83">
        <v>208000.0</v>
      </c>
      <c r="G116" s="77">
        <f>F116*1.1</f>
        <v>228800</v>
      </c>
      <c r="H116" s="77">
        <f>F116*0.7</f>
        <v>145600</v>
      </c>
      <c r="I116" s="86" t="s">
        <v>389</v>
      </c>
      <c r="J116" s="86" t="s">
        <v>385</v>
      </c>
      <c r="K116" s="82"/>
      <c r="L116" s="82"/>
      <c r="M116" s="99"/>
      <c r="N116" s="99"/>
      <c r="O116" s="99"/>
      <c r="P116" s="99"/>
      <c r="Q116" s="99"/>
      <c r="R116" s="82"/>
      <c r="S116" s="76" t="s">
        <v>61</v>
      </c>
      <c r="T116" s="82" t="s">
        <v>386</v>
      </c>
      <c r="U116" s="88"/>
      <c r="V116" s="88"/>
      <c r="W116" s="88"/>
      <c r="X116" s="88"/>
      <c r="Y116" s="88"/>
      <c r="Z116" s="88"/>
    </row>
    <row r="117" ht="18.75" customHeight="1">
      <c r="A117" s="104"/>
      <c r="B117" s="82"/>
      <c r="C117" s="105"/>
      <c r="D117" s="105"/>
      <c r="E117" s="82"/>
      <c r="F117" s="83"/>
      <c r="G117" s="77"/>
      <c r="H117" s="77"/>
      <c r="I117" s="86"/>
      <c r="J117" s="86" t="s">
        <v>374</v>
      </c>
      <c r="K117" s="82"/>
      <c r="L117" s="99"/>
      <c r="M117" s="99">
        <v>1220.0</v>
      </c>
      <c r="N117" s="99">
        <v>440.0</v>
      </c>
      <c r="O117" s="99">
        <v>940.0</v>
      </c>
      <c r="P117" s="99"/>
      <c r="Q117" s="99"/>
      <c r="R117" s="82"/>
      <c r="S117" s="76"/>
      <c r="T117" s="82"/>
      <c r="U117" s="88"/>
      <c r="V117" s="88"/>
      <c r="W117" s="88"/>
      <c r="X117" s="88"/>
      <c r="Y117" s="88"/>
      <c r="Z117" s="88"/>
    </row>
    <row r="118" ht="18.75" customHeight="1">
      <c r="A118" s="104"/>
      <c r="B118" s="82"/>
      <c r="C118" s="105"/>
      <c r="D118" s="105"/>
      <c r="E118" s="82"/>
      <c r="F118" s="83"/>
      <c r="G118" s="77"/>
      <c r="H118" s="77"/>
      <c r="I118" s="86"/>
      <c r="J118" s="86" t="s">
        <v>375</v>
      </c>
      <c r="K118" s="82"/>
      <c r="L118" s="99"/>
      <c r="M118" s="99">
        <v>1220.0</v>
      </c>
      <c r="N118" s="99">
        <v>440.0</v>
      </c>
      <c r="O118" s="99">
        <v>390.0</v>
      </c>
      <c r="P118" s="99"/>
      <c r="Q118" s="99"/>
      <c r="R118" s="82"/>
      <c r="S118" s="76"/>
      <c r="T118" s="82"/>
      <c r="U118" s="88"/>
      <c r="V118" s="88"/>
      <c r="W118" s="88"/>
      <c r="X118" s="88"/>
      <c r="Y118" s="88"/>
      <c r="Z118" s="88"/>
    </row>
    <row r="119" ht="65.25" customHeight="1">
      <c r="A119" s="104"/>
      <c r="B119" s="82"/>
      <c r="C119" s="105" t="s">
        <v>390</v>
      </c>
      <c r="D119" s="105" t="s">
        <v>391</v>
      </c>
      <c r="E119" s="82"/>
      <c r="F119" s="83">
        <v>208000.0</v>
      </c>
      <c r="G119" s="77">
        <f>F119*1.1</f>
        <v>228800</v>
      </c>
      <c r="H119" s="77">
        <f>F119*0.7</f>
        <v>145600</v>
      </c>
      <c r="I119" s="86" t="s">
        <v>392</v>
      </c>
      <c r="J119" s="86" t="s">
        <v>385</v>
      </c>
      <c r="K119" s="82"/>
      <c r="L119" s="82"/>
      <c r="M119" s="99"/>
      <c r="N119" s="99"/>
      <c r="O119" s="99"/>
      <c r="P119" s="99"/>
      <c r="Q119" s="99"/>
      <c r="R119" s="82"/>
      <c r="S119" s="76" t="s">
        <v>61</v>
      </c>
      <c r="T119" s="82" t="s">
        <v>386</v>
      </c>
      <c r="U119" s="88"/>
      <c r="V119" s="88"/>
      <c r="W119" s="88"/>
      <c r="X119" s="88"/>
      <c r="Y119" s="88"/>
      <c r="Z119" s="88"/>
    </row>
    <row r="120" ht="18.0" customHeight="1">
      <c r="A120" s="104"/>
      <c r="B120" s="82"/>
      <c r="C120" s="105"/>
      <c r="D120" s="105"/>
      <c r="E120" s="82"/>
      <c r="F120" s="83"/>
      <c r="G120" s="77"/>
      <c r="H120" s="77"/>
      <c r="I120" s="86"/>
      <c r="J120" s="86" t="s">
        <v>374</v>
      </c>
      <c r="K120" s="82"/>
      <c r="L120" s="99"/>
      <c r="M120" s="99">
        <v>1220.0</v>
      </c>
      <c r="N120" s="99">
        <v>440.0</v>
      </c>
      <c r="O120" s="99">
        <v>940.0</v>
      </c>
      <c r="P120" s="99"/>
      <c r="Q120" s="99"/>
      <c r="R120" s="82"/>
      <c r="S120" s="76"/>
      <c r="T120" s="82"/>
      <c r="U120" s="88"/>
      <c r="V120" s="88"/>
      <c r="W120" s="88"/>
      <c r="X120" s="88"/>
      <c r="Y120" s="88"/>
      <c r="Z120" s="88"/>
    </row>
    <row r="121" ht="18.0" customHeight="1">
      <c r="A121" s="104"/>
      <c r="B121" s="82"/>
      <c r="C121" s="105"/>
      <c r="D121" s="105"/>
      <c r="E121" s="82"/>
      <c r="F121" s="83"/>
      <c r="G121" s="77"/>
      <c r="H121" s="77"/>
      <c r="I121" s="86"/>
      <c r="J121" s="86" t="s">
        <v>375</v>
      </c>
      <c r="K121" s="82"/>
      <c r="L121" s="99"/>
      <c r="M121" s="99">
        <v>1220.0</v>
      </c>
      <c r="N121" s="99">
        <v>440.0</v>
      </c>
      <c r="O121" s="99">
        <v>390.0</v>
      </c>
      <c r="P121" s="99"/>
      <c r="Q121" s="99"/>
      <c r="R121" s="82"/>
      <c r="S121" s="76"/>
      <c r="T121" s="82"/>
      <c r="U121" s="88"/>
      <c r="V121" s="88"/>
      <c r="W121" s="88"/>
      <c r="X121" s="88"/>
      <c r="Y121" s="88"/>
      <c r="Z121" s="88"/>
    </row>
    <row r="122" ht="65.25" customHeight="1">
      <c r="A122" s="104"/>
      <c r="B122" s="82"/>
      <c r="C122" s="105" t="s">
        <v>393</v>
      </c>
      <c r="D122" s="105" t="s">
        <v>394</v>
      </c>
      <c r="E122" s="82"/>
      <c r="F122" s="83">
        <v>111000.0</v>
      </c>
      <c r="G122" s="77">
        <f>F122*1.1</f>
        <v>122100</v>
      </c>
      <c r="H122" s="77">
        <f>F122*0.7</f>
        <v>77700</v>
      </c>
      <c r="I122" s="86" t="s">
        <v>395</v>
      </c>
      <c r="J122" s="86" t="s">
        <v>372</v>
      </c>
      <c r="K122" s="82"/>
      <c r="L122" s="82"/>
      <c r="M122" s="99"/>
      <c r="N122" s="99"/>
      <c r="O122" s="99"/>
      <c r="P122" s="99"/>
      <c r="Q122" s="99"/>
      <c r="R122" s="82"/>
      <c r="S122" s="76" t="s">
        <v>61</v>
      </c>
      <c r="T122" s="82" t="s">
        <v>386</v>
      </c>
      <c r="U122" s="88"/>
      <c r="V122" s="88"/>
      <c r="W122" s="88"/>
      <c r="X122" s="88"/>
      <c r="Y122" s="88"/>
      <c r="Z122" s="88"/>
    </row>
    <row r="123" ht="17.25" customHeight="1">
      <c r="A123" s="104"/>
      <c r="B123" s="82"/>
      <c r="C123" s="105"/>
      <c r="D123" s="105"/>
      <c r="E123" s="82"/>
      <c r="F123" s="83"/>
      <c r="G123" s="77"/>
      <c r="H123" s="77"/>
      <c r="I123" s="86"/>
      <c r="J123" s="86" t="s">
        <v>374</v>
      </c>
      <c r="K123" s="82"/>
      <c r="L123" s="99"/>
      <c r="M123" s="99">
        <v>840.0</v>
      </c>
      <c r="N123" s="99">
        <v>440.0</v>
      </c>
      <c r="O123" s="99">
        <v>940.0</v>
      </c>
      <c r="P123" s="99"/>
      <c r="Q123" s="99"/>
      <c r="R123" s="82"/>
      <c r="S123" s="76"/>
      <c r="T123" s="82"/>
      <c r="U123" s="88"/>
      <c r="V123" s="88"/>
      <c r="W123" s="88"/>
      <c r="X123" s="88"/>
      <c r="Y123" s="88"/>
      <c r="Z123" s="88"/>
    </row>
    <row r="124" ht="17.25" customHeight="1">
      <c r="A124" s="104"/>
      <c r="B124" s="82"/>
      <c r="C124" s="105"/>
      <c r="D124" s="105"/>
      <c r="E124" s="82"/>
      <c r="F124" s="83"/>
      <c r="G124" s="77"/>
      <c r="H124" s="77"/>
      <c r="I124" s="86"/>
      <c r="J124" s="86" t="s">
        <v>375</v>
      </c>
      <c r="K124" s="82"/>
      <c r="L124" s="99"/>
      <c r="M124" s="99">
        <v>840.0</v>
      </c>
      <c r="N124" s="99">
        <v>440.0</v>
      </c>
      <c r="O124" s="99">
        <v>390.0</v>
      </c>
      <c r="P124" s="99"/>
      <c r="Q124" s="99"/>
      <c r="R124" s="82"/>
      <c r="S124" s="76"/>
      <c r="T124" s="82"/>
      <c r="U124" s="88"/>
      <c r="V124" s="88"/>
      <c r="W124" s="88"/>
      <c r="X124" s="88"/>
      <c r="Y124" s="88"/>
      <c r="Z124" s="88"/>
    </row>
    <row r="125" ht="65.25" customHeight="1">
      <c r="A125" s="104"/>
      <c r="B125" s="82"/>
      <c r="C125" s="105" t="s">
        <v>396</v>
      </c>
      <c r="D125" s="105" t="s">
        <v>397</v>
      </c>
      <c r="E125" s="82"/>
      <c r="F125" s="83">
        <v>130000.0</v>
      </c>
      <c r="G125" s="77">
        <f>F125*1.1</f>
        <v>143000</v>
      </c>
      <c r="H125" s="77">
        <f>F125*0.7</f>
        <v>91000</v>
      </c>
      <c r="I125" s="86" t="s">
        <v>395</v>
      </c>
      <c r="J125" s="86" t="s">
        <v>372</v>
      </c>
      <c r="K125" s="82"/>
      <c r="L125" s="82"/>
      <c r="M125" s="99"/>
      <c r="N125" s="99"/>
      <c r="O125" s="99"/>
      <c r="P125" s="99"/>
      <c r="Q125" s="99"/>
      <c r="R125" s="82"/>
      <c r="S125" s="76" t="s">
        <v>61</v>
      </c>
      <c r="T125" s="82" t="s">
        <v>386</v>
      </c>
      <c r="U125" s="88"/>
      <c r="V125" s="88"/>
      <c r="W125" s="88"/>
      <c r="X125" s="88"/>
      <c r="Y125" s="88"/>
      <c r="Z125" s="88"/>
    </row>
    <row r="126" ht="18.75" customHeight="1">
      <c r="A126" s="104"/>
      <c r="B126" s="82"/>
      <c r="C126" s="105"/>
      <c r="D126" s="105"/>
      <c r="E126" s="82"/>
      <c r="F126" s="83"/>
      <c r="G126" s="77"/>
      <c r="H126" s="77"/>
      <c r="I126" s="86"/>
      <c r="J126" s="86" t="s">
        <v>374</v>
      </c>
      <c r="K126" s="82"/>
      <c r="L126" s="99"/>
      <c r="M126" s="99">
        <v>840.0</v>
      </c>
      <c r="N126" s="99">
        <v>440.0</v>
      </c>
      <c r="O126" s="99">
        <v>940.0</v>
      </c>
      <c r="P126" s="99"/>
      <c r="Q126" s="99"/>
      <c r="R126" s="82"/>
      <c r="S126" s="76"/>
      <c r="T126" s="82"/>
      <c r="U126" s="88"/>
      <c r="V126" s="88"/>
      <c r="W126" s="88"/>
      <c r="X126" s="88"/>
      <c r="Y126" s="88"/>
      <c r="Z126" s="88"/>
    </row>
    <row r="127" ht="18.75" customHeight="1">
      <c r="A127" s="104"/>
      <c r="B127" s="82"/>
      <c r="C127" s="105"/>
      <c r="D127" s="105"/>
      <c r="E127" s="82"/>
      <c r="F127" s="83"/>
      <c r="G127" s="77"/>
      <c r="H127" s="77"/>
      <c r="I127" s="86"/>
      <c r="J127" s="86" t="s">
        <v>375</v>
      </c>
      <c r="K127" s="82"/>
      <c r="L127" s="99"/>
      <c r="M127" s="99">
        <v>840.0</v>
      </c>
      <c r="N127" s="99">
        <v>440.0</v>
      </c>
      <c r="O127" s="99">
        <v>390.0</v>
      </c>
      <c r="P127" s="99"/>
      <c r="Q127" s="99"/>
      <c r="R127" s="82"/>
      <c r="S127" s="76"/>
      <c r="T127" s="82"/>
      <c r="U127" s="88"/>
      <c r="V127" s="88"/>
      <c r="W127" s="88"/>
      <c r="X127" s="88"/>
      <c r="Y127" s="88"/>
      <c r="Z127" s="88"/>
    </row>
    <row r="128" ht="65.25" customHeight="1">
      <c r="A128" s="104"/>
      <c r="B128" s="82"/>
      <c r="C128" s="105" t="s">
        <v>398</v>
      </c>
      <c r="D128" s="105" t="s">
        <v>399</v>
      </c>
      <c r="E128" s="82"/>
      <c r="F128" s="83">
        <v>130000.0</v>
      </c>
      <c r="G128" s="77">
        <f>F128*1.1</f>
        <v>143000</v>
      </c>
      <c r="H128" s="77">
        <f>F128*0.7</f>
        <v>91000</v>
      </c>
      <c r="I128" s="86" t="s">
        <v>395</v>
      </c>
      <c r="J128" s="86" t="s">
        <v>372</v>
      </c>
      <c r="K128" s="82"/>
      <c r="L128" s="82"/>
      <c r="M128" s="99"/>
      <c r="N128" s="99"/>
      <c r="O128" s="99"/>
      <c r="P128" s="99"/>
      <c r="Q128" s="99"/>
      <c r="R128" s="82"/>
      <c r="S128" s="76" t="s">
        <v>61</v>
      </c>
      <c r="T128" s="82" t="s">
        <v>386</v>
      </c>
      <c r="U128" s="88"/>
      <c r="V128" s="88"/>
      <c r="W128" s="88"/>
      <c r="X128" s="88"/>
      <c r="Y128" s="88"/>
      <c r="Z128" s="88"/>
    </row>
    <row r="129" ht="18.75" customHeight="1">
      <c r="A129" s="104"/>
      <c r="B129" s="82"/>
      <c r="C129" s="105"/>
      <c r="D129" s="105"/>
      <c r="E129" s="82"/>
      <c r="F129" s="83"/>
      <c r="G129" s="77"/>
      <c r="H129" s="77"/>
      <c r="I129" s="86"/>
      <c r="J129" s="86" t="s">
        <v>374</v>
      </c>
      <c r="K129" s="82"/>
      <c r="L129" s="99"/>
      <c r="M129" s="99">
        <v>840.0</v>
      </c>
      <c r="N129" s="99">
        <v>440.0</v>
      </c>
      <c r="O129" s="99">
        <v>940.0</v>
      </c>
      <c r="P129" s="99"/>
      <c r="Q129" s="99"/>
      <c r="R129" s="82"/>
      <c r="S129" s="76"/>
      <c r="T129" s="82"/>
      <c r="U129" s="88"/>
      <c r="V129" s="88"/>
      <c r="W129" s="88"/>
      <c r="X129" s="88"/>
      <c r="Y129" s="88"/>
      <c r="Z129" s="88"/>
    </row>
    <row r="130" ht="18.7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6" t="s">
        <v>375</v>
      </c>
      <c r="K130" s="82"/>
      <c r="L130" s="99"/>
      <c r="M130" s="99">
        <v>840.0</v>
      </c>
      <c r="N130" s="99">
        <v>440.0</v>
      </c>
      <c r="O130" s="99">
        <v>390.0</v>
      </c>
      <c r="P130" s="99"/>
      <c r="Q130" s="99"/>
      <c r="R130" s="82"/>
      <c r="S130" s="82"/>
      <c r="T130" s="82"/>
      <c r="U130" s="88"/>
      <c r="V130" s="88"/>
      <c r="W130" s="88"/>
      <c r="X130" s="88"/>
      <c r="Y130" s="88"/>
      <c r="Z130" s="88"/>
    </row>
    <row r="131" ht="65.2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ht="12.7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ht="12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ht="12.7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ht="12.7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ht="12.7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ht="12.7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ht="12.7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ht="12.7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ht="12.7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ht="12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ht="12.7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ht="12.7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ht="12.7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ht="12.7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ht="12.7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ht="12.7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ht="12.7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ht="12.7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ht="12.7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ht="12.7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ht="12.7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ht="12.7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ht="12.7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ht="12.7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ht="12.7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ht="12.7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ht="12.7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ht="12.7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ht="12.7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ht="12.7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ht="12.7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ht="12.7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ht="12.7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ht="12.7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ht="12.7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ht="12.7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ht="12.7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ht="12.7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ht="12.7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ht="12.7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ht="12.7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ht="12.7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ht="12.7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ht="12.7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ht="12.7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ht="12.7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ht="12.7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ht="12.7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ht="12.7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ht="12.7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ht="12.7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ht="12.7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ht="12.7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ht="12.7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ht="12.7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ht="12.7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ht="12.7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ht="12.7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ht="12.7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ht="12.7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ht="12.7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ht="12.7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ht="12.7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ht="12.7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ht="12.7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ht="12.7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ht="12.7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ht="12.7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ht="12.7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ht="12.7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ht="12.7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ht="12.7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ht="12.7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ht="12.7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ht="12.7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ht="12.7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ht="12.7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ht="12.7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ht="12.7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ht="12.7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ht="12.7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ht="12.7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ht="12.7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ht="12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ht="12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ht="12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ht="12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ht="12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ht="12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ht="12.7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ht="12.7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ht="12.7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ht="12.7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ht="12.7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ht="12.7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ht="12.7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ht="12.7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ht="12.7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ht="12.7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ht="12.7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ht="12.7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ht="12.7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ht="12.7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ht="12.7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ht="12.7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ht="12.7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ht="12.7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ht="12.7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ht="12.7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ht="12.7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ht="12.7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ht="12.7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ht="12.7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ht="12.7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ht="12.7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ht="12.7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ht="12.7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ht="12.7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ht="12.7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ht="12.7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ht="12.7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ht="12.7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ht="12.7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ht="12.7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ht="12.7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ht="12.7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ht="12.7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ht="12.7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ht="12.7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ht="12.7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ht="12.7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ht="12.7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ht="12.7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ht="12.7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ht="12.7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ht="12.7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ht="12.7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ht="12.7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ht="12.7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ht="12.7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ht="12.7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ht="12.7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ht="12.7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ht="12.7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ht="12.7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ht="12.7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ht="12.7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ht="12.7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ht="12.7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ht="12.7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ht="12.7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ht="12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ht="12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ht="12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ht="12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ht="12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ht="12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ht="12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ht="12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ht="12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ht="12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ht="12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ht="12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ht="12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ht="12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ht="12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ht="12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ht="12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ht="12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ht="12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ht="12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ht="12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ht="12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ht="12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ht="12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ht="12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ht="12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ht="12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ht="12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ht="12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ht="12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ht="12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ht="12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ht="12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ht="12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ht="12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ht="12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ht="12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ht="12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ht="12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ht="12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ht="12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ht="12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ht="12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ht="12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ht="12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ht="12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ht="12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ht="12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ht="12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ht="12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ht="12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ht="12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ht="12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ht="12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ht="12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ht="12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ht="12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ht="12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ht="12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ht="12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ht="12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ht="12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ht="12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ht="12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ht="12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ht="12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ht="12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ht="12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ht="12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ht="12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ht="12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ht="12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ht="12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ht="12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ht="12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ht="12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ht="12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ht="12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ht="12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ht="12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ht="12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ht="12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ht="12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ht="12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ht="12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ht="12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ht="12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ht="12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ht="12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ht="12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ht="12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ht="12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ht="12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ht="12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ht="12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ht="12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ht="12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ht="12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ht="12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ht="12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ht="12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ht="12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ht="12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ht="12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ht="12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ht="12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ht="12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ht="12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ht="12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ht="12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ht="12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ht="12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ht="12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ht="12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ht="12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ht="12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ht="12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ht="12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ht="12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ht="12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ht="12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ht="12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ht="12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ht="12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ht="12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ht="12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ht="12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ht="12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ht="12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ht="12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ht="12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ht="12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ht="12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ht="12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ht="12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ht="12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ht="12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ht="12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ht="12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ht="12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ht="12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ht="12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ht="12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ht="12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ht="12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ht="12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ht="12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ht="12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ht="12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ht="12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ht="12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ht="12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ht="12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ht="12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ht="12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ht="12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ht="12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ht="12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ht="12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ht="12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ht="12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ht="12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ht="12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ht="12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ht="12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ht="12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ht="12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ht="12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ht="12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ht="12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ht="12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ht="12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ht="12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ht="12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ht="12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ht="12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ht="12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ht="12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ht="12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ht="12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ht="12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ht="12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ht="12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ht="12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ht="12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ht="12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ht="12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ht="12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ht="12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ht="12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ht="12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ht="12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ht="12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ht="12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ht="12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ht="12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ht="12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ht="12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ht="12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ht="12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ht="12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ht="12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ht="12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ht="12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ht="12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ht="12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ht="12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ht="12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ht="12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ht="12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ht="12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ht="12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ht="12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ht="12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ht="12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ht="12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ht="12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ht="12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ht="12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ht="12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ht="12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ht="12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ht="12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ht="12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ht="12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ht="12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ht="12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ht="12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ht="12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ht="12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ht="12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ht="12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ht="12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ht="12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ht="12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ht="12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ht="12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ht="12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ht="12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ht="12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ht="12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ht="12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ht="12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ht="12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ht="12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ht="12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ht="12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ht="12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ht="12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ht="12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ht="12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ht="12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ht="12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ht="12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ht="12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ht="12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ht="12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ht="12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ht="12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ht="12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ht="12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ht="12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ht="12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ht="12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ht="12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ht="12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ht="12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ht="12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ht="12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ht="12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ht="12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ht="12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ht="12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ht="12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ht="12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ht="12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ht="12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ht="12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ht="12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ht="12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ht="12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ht="12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ht="12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ht="12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ht="12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ht="12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ht="12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ht="12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ht="12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ht="12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ht="12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ht="12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ht="12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ht="12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ht="12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ht="12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ht="12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ht="12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ht="12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ht="12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ht="12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ht="12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ht="12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ht="12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ht="12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ht="12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ht="12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ht="12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ht="12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ht="12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ht="12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ht="12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ht="12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ht="12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ht="12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ht="12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ht="12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ht="12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ht="12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ht="12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ht="12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ht="12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ht="12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ht="12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ht="12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ht="12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ht="12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ht="12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ht="12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ht="12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ht="12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ht="12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ht="12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ht="12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ht="12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ht="12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ht="12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ht="12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ht="12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ht="12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ht="12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ht="12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ht="12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ht="12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ht="12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ht="12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ht="12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ht="12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ht="12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ht="12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ht="12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ht="12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ht="12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ht="12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ht="12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ht="12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ht="12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ht="12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ht="12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ht="12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ht="12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ht="12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ht="12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ht="12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ht="12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ht="12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ht="12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ht="12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ht="12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ht="12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ht="12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ht="12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ht="12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ht="12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ht="12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ht="12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ht="12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ht="12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ht="12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ht="12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ht="12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ht="12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ht="12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ht="12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ht="12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ht="12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ht="12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ht="12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ht="12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ht="12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ht="12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ht="12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ht="12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ht="12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ht="12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ht="12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ht="12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ht="12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ht="12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ht="12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ht="12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ht="12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ht="12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ht="12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ht="12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ht="12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ht="12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ht="12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ht="12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ht="12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ht="12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ht="12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ht="12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ht="12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ht="12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ht="12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ht="12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ht="12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ht="12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ht="12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ht="12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ht="12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ht="12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ht="12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ht="12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ht="12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ht="12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ht="12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ht="12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ht="12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ht="12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ht="12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ht="12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ht="12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ht="12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ht="12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ht="12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ht="12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ht="12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ht="12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ht="12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ht="12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ht="12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ht="12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ht="12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ht="12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ht="12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ht="12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ht="12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ht="12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ht="12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ht="12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ht="12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ht="12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ht="12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ht="12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ht="12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ht="12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ht="12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ht="12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ht="12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ht="12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ht="12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ht="12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ht="12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ht="12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ht="12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ht="12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ht="12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ht="12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ht="12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ht="12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ht="12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ht="12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ht="12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ht="12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ht="12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ht="12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ht="12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ht="12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ht="12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ht="12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ht="12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ht="12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ht="12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ht="12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ht="12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ht="12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ht="12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ht="12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ht="12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ht="12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ht="12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ht="12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ht="12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ht="12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ht="12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ht="12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ht="12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ht="12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ht="12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ht="12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ht="12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ht="12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ht="12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ht="12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ht="12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ht="12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ht="12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ht="12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ht="12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ht="12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ht="12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ht="12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ht="12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ht="12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ht="12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ht="12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ht="12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ht="12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ht="12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ht="12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ht="12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ht="12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ht="12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ht="12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ht="12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ht="12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ht="12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ht="12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ht="12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ht="12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ht="12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ht="12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ht="12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ht="12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ht="12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ht="12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ht="12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ht="12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ht="12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ht="12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ht="12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ht="12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ht="12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ht="12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ht="12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ht="12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ht="12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ht="12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ht="12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ht="12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ht="12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ht="12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ht="12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ht="12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ht="12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ht="12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ht="12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ht="12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ht="12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ht="12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ht="12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ht="12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ht="12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ht="12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ht="12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ht="12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ht="12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ht="12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ht="12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ht="12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ht="12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ht="12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ht="12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ht="12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ht="12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ht="12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ht="12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ht="12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ht="12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ht="12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ht="12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ht="12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ht="12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ht="12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ht="12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ht="12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ht="12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ht="12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ht="12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ht="12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ht="12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ht="12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ht="12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ht="12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ht="12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ht="12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ht="12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ht="12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ht="12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ht="12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ht="12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ht="12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ht="12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ht="12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ht="12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ht="12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ht="12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ht="12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ht="12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ht="12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ht="12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ht="12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ht="12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ht="12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ht="12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ht="12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ht="12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ht="12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ht="12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ht="12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ht="12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ht="12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ht="12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ht="12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ht="12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ht="12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ht="12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ht="12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ht="12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ht="12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ht="12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ht="12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ht="12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ht="12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ht="12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ht="12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ht="12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ht="12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ht="12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ht="12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ht="12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ht="12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ht="12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ht="12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ht="12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ht="12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ht="12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ht="12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ht="12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ht="12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ht="12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ht="12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ht="12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ht="12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ht="12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ht="12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ht="12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ht="12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ht="12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ht="12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ht="12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ht="12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ht="12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ht="12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ht="12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ht="12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ht="12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ht="12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ht="12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ht="12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ht="12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ht="12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ht="12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ht="12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ht="12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ht="12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ht="12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ht="12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ht="12.7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ht="12.7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ht="12.7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ht="12.7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ht="12.7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ht="12.7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ht="12.7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ht="12.7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ht="12.7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ht="12.7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ht="12.7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ht="12.7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ht="12.7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ht="12.7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ht="12.7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ht="12.7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ht="12.7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ht="12.7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ht="12.7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ht="12.7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ht="12.7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ht="12.7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ht="12.7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ht="12.7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ht="12.7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ht="12.7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ht="12.7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ht="12.7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ht="12.7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ht="12.7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ht="12.7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ht="12.7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ht="12.7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ht="12.7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ht="12.75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ht="12.75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ht="12.75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ht="12.75" customHeight="1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mergeCells count="2">
    <mergeCell ref="A70:A71"/>
    <mergeCell ref="A72:A7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2.57"/>
    <col customWidth="1" min="3" max="3" width="11.14"/>
    <col customWidth="1" min="4" max="26" width="9.57"/>
  </cols>
  <sheetData>
    <row r="1" ht="12.75" customHeight="1">
      <c r="A1" s="72" t="s">
        <v>9</v>
      </c>
      <c r="B1" s="72" t="s">
        <v>23</v>
      </c>
      <c r="C1" s="72" t="s">
        <v>400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ht="12.75" customHeight="1">
      <c r="A2" s="106" t="s">
        <v>401</v>
      </c>
      <c r="B2" s="107" t="s">
        <v>402</v>
      </c>
      <c r="C2" s="107" t="s">
        <v>403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12.75" customHeight="1">
      <c r="A3" s="106" t="s">
        <v>404</v>
      </c>
      <c r="B3" s="75">
        <v>0.0</v>
      </c>
      <c r="C3" s="75" t="s">
        <v>405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12.75" customHeight="1">
      <c r="A4" s="106" t="s">
        <v>406</v>
      </c>
      <c r="B4" s="75">
        <v>0.0</v>
      </c>
      <c r="C4" s="75" t="s">
        <v>407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12.75" customHeight="1">
      <c r="A5" s="106" t="s">
        <v>408</v>
      </c>
      <c r="B5" s="75">
        <v>0.0</v>
      </c>
      <c r="C5" s="75" t="s">
        <v>407</v>
      </c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12.75" customHeight="1">
      <c r="A6" s="106" t="s">
        <v>409</v>
      </c>
      <c r="B6" s="75">
        <v>0.0</v>
      </c>
      <c r="C6" s="75" t="s">
        <v>407</v>
      </c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12.75" customHeight="1">
      <c r="A7" s="106" t="s">
        <v>410</v>
      </c>
      <c r="B7" s="75">
        <v>0.0</v>
      </c>
      <c r="C7" s="75" t="s">
        <v>407</v>
      </c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12.75" customHeight="1">
      <c r="A8" s="106" t="s">
        <v>411</v>
      </c>
      <c r="B8" s="75">
        <v>0.0</v>
      </c>
      <c r="C8" s="75" t="s">
        <v>407</v>
      </c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2.75" customHeight="1">
      <c r="A9" s="106" t="s">
        <v>412</v>
      </c>
      <c r="B9" s="75">
        <v>0.0</v>
      </c>
      <c r="C9" s="75" t="s">
        <v>407</v>
      </c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2.75" customHeight="1">
      <c r="A10" s="106" t="s">
        <v>413</v>
      </c>
      <c r="B10" s="75">
        <v>0.0</v>
      </c>
      <c r="C10" s="75" t="s">
        <v>407</v>
      </c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12.75" customHeight="1">
      <c r="A11" s="106" t="s">
        <v>414</v>
      </c>
      <c r="B11" s="75">
        <v>0.0</v>
      </c>
      <c r="C11" s="75" t="s">
        <v>407</v>
      </c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12.75" customHeight="1">
      <c r="A12" s="106" t="s">
        <v>415</v>
      </c>
      <c r="B12" s="75">
        <v>0.0</v>
      </c>
      <c r="C12" s="75" t="s">
        <v>407</v>
      </c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12.75" customHeight="1">
      <c r="A13" s="106" t="s">
        <v>416</v>
      </c>
      <c r="B13" s="75">
        <v>0.0</v>
      </c>
      <c r="C13" s="75" t="s">
        <v>407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2.75" customHeight="1">
      <c r="A14" s="106" t="s">
        <v>10</v>
      </c>
      <c r="B14" s="75">
        <v>0.0</v>
      </c>
      <c r="C14" s="75" t="s">
        <v>407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2.75" customHeight="1">
      <c r="A15" s="106" t="s">
        <v>417</v>
      </c>
      <c r="B15" s="75">
        <v>0.0</v>
      </c>
      <c r="C15" s="75" t="s">
        <v>407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12.75" customHeight="1">
      <c r="A16" s="106" t="s">
        <v>418</v>
      </c>
      <c r="B16" s="75">
        <v>0.0</v>
      </c>
      <c r="C16" s="75" t="s">
        <v>407</v>
      </c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12.75" customHeight="1">
      <c r="A17" s="106" t="s">
        <v>419</v>
      </c>
      <c r="B17" s="75">
        <v>0.0</v>
      </c>
      <c r="C17" s="75" t="s">
        <v>407</v>
      </c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2.75" customHeight="1">
      <c r="A18" s="106" t="s">
        <v>420</v>
      </c>
      <c r="B18" s="75">
        <v>0.0</v>
      </c>
      <c r="C18" s="75" t="s">
        <v>407</v>
      </c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2.75" customHeight="1">
      <c r="A19" s="106" t="s">
        <v>421</v>
      </c>
      <c r="B19" s="75">
        <v>0.0</v>
      </c>
      <c r="C19" s="75" t="s">
        <v>407</v>
      </c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2.75" customHeight="1">
      <c r="A20" s="106" t="s">
        <v>422</v>
      </c>
      <c r="B20" s="75">
        <v>0.0</v>
      </c>
      <c r="C20" s="75" t="s">
        <v>407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106" t="s">
        <v>423</v>
      </c>
      <c r="B21" s="75">
        <v>0.0</v>
      </c>
      <c r="C21" s="75" t="s">
        <v>407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106" t="s">
        <v>424</v>
      </c>
      <c r="B22" s="75">
        <v>0.0</v>
      </c>
      <c r="C22" s="75" t="s">
        <v>407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06" t="s">
        <v>425</v>
      </c>
      <c r="B23" s="75">
        <v>0.0</v>
      </c>
      <c r="C23" s="75" t="s">
        <v>407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106" t="s">
        <v>426</v>
      </c>
      <c r="B24" s="75">
        <v>0.0</v>
      </c>
      <c r="C24" s="75" t="s">
        <v>407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106" t="s">
        <v>427</v>
      </c>
      <c r="B25" s="75">
        <v>0.0</v>
      </c>
      <c r="C25" s="75" t="s">
        <v>407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106" t="s">
        <v>428</v>
      </c>
      <c r="B26" s="75">
        <v>0.0</v>
      </c>
      <c r="C26" s="75" t="s">
        <v>407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106" t="s">
        <v>429</v>
      </c>
      <c r="B27" s="75">
        <v>0.0</v>
      </c>
      <c r="C27" s="75" t="s">
        <v>407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106" t="s">
        <v>430</v>
      </c>
      <c r="B28" s="75">
        <v>0.0</v>
      </c>
      <c r="C28" s="75" t="s">
        <v>407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106" t="s">
        <v>431</v>
      </c>
      <c r="B29" s="75">
        <v>0.0</v>
      </c>
      <c r="C29" s="75" t="s">
        <v>407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106" t="s">
        <v>432</v>
      </c>
      <c r="B30" s="75">
        <v>0.0</v>
      </c>
      <c r="C30" s="75" t="s">
        <v>407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106" t="s">
        <v>433</v>
      </c>
      <c r="B31" s="75">
        <v>0.0</v>
      </c>
      <c r="C31" s="75" t="s">
        <v>407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106" t="s">
        <v>434</v>
      </c>
      <c r="B32" s="75">
        <v>0.0</v>
      </c>
      <c r="C32" s="75" t="s">
        <v>405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106" t="s">
        <v>435</v>
      </c>
      <c r="B33" s="75">
        <v>0.0</v>
      </c>
      <c r="C33" s="75" t="s">
        <v>405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106" t="s">
        <v>436</v>
      </c>
      <c r="B34" s="75">
        <v>0.0</v>
      </c>
      <c r="C34" s="75" t="s">
        <v>405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106" t="s">
        <v>437</v>
      </c>
      <c r="B35" s="75">
        <v>0.0</v>
      </c>
      <c r="C35" s="75" t="s">
        <v>405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06" t="s">
        <v>438</v>
      </c>
      <c r="B36" s="75">
        <v>0.0</v>
      </c>
      <c r="C36" s="75" t="s">
        <v>405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106" t="s">
        <v>439</v>
      </c>
      <c r="B37" s="107" t="s">
        <v>402</v>
      </c>
      <c r="C37" s="107" t="s">
        <v>403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106" t="s">
        <v>440</v>
      </c>
      <c r="B38" s="107" t="s">
        <v>402</v>
      </c>
      <c r="C38" s="107" t="s">
        <v>403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106" t="s">
        <v>441</v>
      </c>
      <c r="B39" s="107" t="s">
        <v>402</v>
      </c>
      <c r="C39" s="107" t="s">
        <v>403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106" t="s">
        <v>442</v>
      </c>
      <c r="B40" s="107" t="s">
        <v>402</v>
      </c>
      <c r="C40" s="107" t="s">
        <v>403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106" t="s">
        <v>443</v>
      </c>
      <c r="B41" s="107" t="s">
        <v>402</v>
      </c>
      <c r="C41" s="107" t="s">
        <v>403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106" t="s">
        <v>444</v>
      </c>
      <c r="B42" s="107" t="s">
        <v>402</v>
      </c>
      <c r="C42" s="107" t="s">
        <v>403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106" t="s">
        <v>445</v>
      </c>
      <c r="B43" s="107" t="s">
        <v>402</v>
      </c>
      <c r="C43" s="107" t="s">
        <v>403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106" t="s">
        <v>446</v>
      </c>
      <c r="B44" s="107" t="s">
        <v>402</v>
      </c>
      <c r="C44" s="107" t="s">
        <v>403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106" t="s">
        <v>447</v>
      </c>
      <c r="B45" s="107" t="s">
        <v>402</v>
      </c>
      <c r="C45" s="107" t="s">
        <v>403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106" t="s">
        <v>448</v>
      </c>
      <c r="B46" s="107" t="s">
        <v>402</v>
      </c>
      <c r="C46" s="107" t="s">
        <v>403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106" t="s">
        <v>449</v>
      </c>
      <c r="B47" s="107" t="s">
        <v>402</v>
      </c>
      <c r="C47" s="107" t="s">
        <v>403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106" t="s">
        <v>450</v>
      </c>
      <c r="B48" s="107" t="s">
        <v>402</v>
      </c>
      <c r="C48" s="107" t="s">
        <v>403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108"/>
      <c r="B49" s="108"/>
      <c r="C49" s="10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108"/>
      <c r="B50" s="108"/>
      <c r="C50" s="10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108"/>
      <c r="B51" s="108"/>
      <c r="C51" s="10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108"/>
      <c r="B52" s="108"/>
      <c r="C52" s="10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108"/>
      <c r="B53" s="108"/>
      <c r="C53" s="10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108"/>
      <c r="B54" s="108"/>
      <c r="C54" s="10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108"/>
      <c r="B55" s="108"/>
      <c r="C55" s="10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108"/>
      <c r="B56" s="108"/>
      <c r="C56" s="10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108"/>
      <c r="B57" s="108"/>
      <c r="C57" s="10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108"/>
      <c r="B58" s="108"/>
      <c r="C58" s="10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108"/>
      <c r="B59" s="108"/>
      <c r="C59" s="10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108"/>
      <c r="B60" s="108"/>
      <c r="C60" s="10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108"/>
      <c r="B61" s="108"/>
      <c r="C61" s="10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108"/>
      <c r="B62" s="108"/>
      <c r="C62" s="10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108"/>
      <c r="B63" s="108"/>
      <c r="C63" s="10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108"/>
      <c r="B64" s="108"/>
      <c r="C64" s="10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108"/>
      <c r="B65" s="108"/>
      <c r="C65" s="10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108"/>
      <c r="B66" s="108"/>
      <c r="C66" s="10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108"/>
      <c r="B67" s="108"/>
      <c r="C67" s="10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108"/>
      <c r="B68" s="108"/>
      <c r="C68" s="10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108"/>
      <c r="B69" s="108"/>
      <c r="C69" s="10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108"/>
      <c r="B70" s="108"/>
      <c r="C70" s="10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108"/>
      <c r="B71" s="108"/>
      <c r="C71" s="10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108"/>
      <c r="B72" s="108"/>
      <c r="C72" s="10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108"/>
      <c r="B73" s="108"/>
      <c r="C73" s="10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108"/>
      <c r="B74" s="108"/>
      <c r="C74" s="10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108"/>
      <c r="B75" s="108"/>
      <c r="C75" s="10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108"/>
      <c r="B76" s="108"/>
      <c r="C76" s="10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108"/>
      <c r="B77" s="108"/>
      <c r="C77" s="10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108"/>
      <c r="B78" s="108"/>
      <c r="C78" s="10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108"/>
      <c r="B79" s="108"/>
      <c r="C79" s="10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108"/>
      <c r="B80" s="108"/>
      <c r="C80" s="10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108"/>
      <c r="B81" s="108"/>
      <c r="C81" s="10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108"/>
      <c r="B82" s="108"/>
      <c r="C82" s="10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108"/>
      <c r="B83" s="108"/>
      <c r="C83" s="10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108"/>
      <c r="B84" s="108"/>
      <c r="C84" s="10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108"/>
      <c r="B85" s="108"/>
      <c r="C85" s="10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108"/>
      <c r="B86" s="108"/>
      <c r="C86" s="10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108"/>
      <c r="B87" s="108"/>
      <c r="C87" s="10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108"/>
      <c r="B88" s="108"/>
      <c r="C88" s="10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108"/>
      <c r="B89" s="108"/>
      <c r="C89" s="10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108"/>
      <c r="B90" s="108"/>
      <c r="C90" s="10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108"/>
      <c r="B91" s="108"/>
      <c r="C91" s="10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108"/>
      <c r="B92" s="108"/>
      <c r="C92" s="10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108"/>
      <c r="B93" s="108"/>
      <c r="C93" s="10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108"/>
      <c r="B94" s="108"/>
      <c r="C94" s="10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108"/>
      <c r="B95" s="108"/>
      <c r="C95" s="10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108"/>
      <c r="B96" s="108"/>
      <c r="C96" s="10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108"/>
      <c r="B97" s="108"/>
      <c r="C97" s="10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08"/>
      <c r="B98" s="108"/>
      <c r="C98" s="10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108"/>
      <c r="B99" s="108"/>
      <c r="C99" s="10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108"/>
      <c r="B100" s="108"/>
      <c r="C100" s="10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108"/>
      <c r="B101" s="108"/>
      <c r="C101" s="10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108"/>
      <c r="B102" s="108"/>
      <c r="C102" s="10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108"/>
      <c r="B103" s="108"/>
      <c r="C103" s="10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108"/>
      <c r="B104" s="108"/>
      <c r="C104" s="10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108"/>
      <c r="B105" s="108"/>
      <c r="C105" s="10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108"/>
      <c r="B106" s="108"/>
      <c r="C106" s="10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108"/>
      <c r="B107" s="108"/>
      <c r="C107" s="10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108"/>
      <c r="B108" s="108"/>
      <c r="C108" s="10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108"/>
      <c r="B109" s="108"/>
      <c r="C109" s="10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108"/>
      <c r="B110" s="108"/>
      <c r="C110" s="10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108"/>
      <c r="B111" s="108"/>
      <c r="C111" s="10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108"/>
      <c r="B112" s="108"/>
      <c r="C112" s="10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108"/>
      <c r="B113" s="108"/>
      <c r="C113" s="10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108"/>
      <c r="B114" s="108"/>
      <c r="C114" s="10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108"/>
      <c r="B115" s="108"/>
      <c r="C115" s="10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108"/>
      <c r="B116" s="108"/>
      <c r="C116" s="10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108"/>
      <c r="B117" s="108"/>
      <c r="C117" s="10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108"/>
      <c r="B118" s="108"/>
      <c r="C118" s="10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108"/>
      <c r="B119" s="108"/>
      <c r="C119" s="10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108"/>
      <c r="B120" s="108"/>
      <c r="C120" s="10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108"/>
      <c r="B121" s="108"/>
      <c r="C121" s="10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108"/>
      <c r="B122" s="108"/>
      <c r="C122" s="10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108"/>
      <c r="B123" s="108"/>
      <c r="C123" s="10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108"/>
      <c r="B124" s="108"/>
      <c r="C124" s="10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108"/>
      <c r="B125" s="108"/>
      <c r="C125" s="10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108"/>
      <c r="B126" s="108"/>
      <c r="C126" s="10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108"/>
      <c r="B127" s="108"/>
      <c r="C127" s="10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108"/>
      <c r="B128" s="108"/>
      <c r="C128" s="10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108"/>
      <c r="B129" s="108"/>
      <c r="C129" s="10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108"/>
      <c r="B130" s="108"/>
      <c r="C130" s="10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108"/>
      <c r="B131" s="108"/>
      <c r="C131" s="10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108"/>
      <c r="B132" s="108"/>
      <c r="C132" s="10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108"/>
      <c r="B133" s="108"/>
      <c r="C133" s="10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108"/>
      <c r="B134" s="108"/>
      <c r="C134" s="10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108"/>
      <c r="B135" s="108"/>
      <c r="C135" s="10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108"/>
      <c r="B136" s="108"/>
      <c r="C136" s="10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108"/>
      <c r="B137" s="108"/>
      <c r="C137" s="10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108"/>
      <c r="B138" s="108"/>
      <c r="C138" s="10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108"/>
      <c r="B139" s="108"/>
      <c r="C139" s="10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108"/>
      <c r="B140" s="108"/>
      <c r="C140" s="10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108"/>
      <c r="B141" s="108"/>
      <c r="C141" s="10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108"/>
      <c r="B142" s="108"/>
      <c r="C142" s="10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108"/>
      <c r="B143" s="108"/>
      <c r="C143" s="10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108"/>
      <c r="B144" s="108"/>
      <c r="C144" s="10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108"/>
      <c r="B145" s="108"/>
      <c r="C145" s="10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108"/>
      <c r="B146" s="108"/>
      <c r="C146" s="10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108"/>
      <c r="B147" s="108"/>
      <c r="C147" s="10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108"/>
      <c r="B148" s="108"/>
      <c r="C148" s="10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108"/>
      <c r="B149" s="108"/>
      <c r="C149" s="10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108"/>
      <c r="B150" s="108"/>
      <c r="C150" s="10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108"/>
      <c r="B151" s="108"/>
      <c r="C151" s="10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108"/>
      <c r="B152" s="108"/>
      <c r="C152" s="10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108"/>
      <c r="B153" s="108"/>
      <c r="C153" s="10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108"/>
      <c r="B154" s="108"/>
      <c r="C154" s="10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108"/>
      <c r="B155" s="108"/>
      <c r="C155" s="10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108"/>
      <c r="B156" s="108"/>
      <c r="C156" s="10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108"/>
      <c r="B157" s="108"/>
      <c r="C157" s="10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108"/>
      <c r="B158" s="108"/>
      <c r="C158" s="10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108"/>
      <c r="B159" s="108"/>
      <c r="C159" s="10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108"/>
      <c r="B160" s="108"/>
      <c r="C160" s="10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108"/>
      <c r="B161" s="108"/>
      <c r="C161" s="10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108"/>
      <c r="B162" s="108"/>
      <c r="C162" s="10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108"/>
      <c r="B163" s="108"/>
      <c r="C163" s="10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108"/>
      <c r="B164" s="108"/>
      <c r="C164" s="10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108"/>
      <c r="B165" s="108"/>
      <c r="C165" s="10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108"/>
      <c r="B166" s="108"/>
      <c r="C166" s="10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108"/>
      <c r="B167" s="108"/>
      <c r="C167" s="10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108"/>
      <c r="B168" s="108"/>
      <c r="C168" s="10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108"/>
      <c r="B169" s="108"/>
      <c r="C169" s="10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108"/>
      <c r="B170" s="108"/>
      <c r="C170" s="10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108"/>
      <c r="B171" s="108"/>
      <c r="C171" s="10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108"/>
      <c r="B172" s="108"/>
      <c r="C172" s="10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108"/>
      <c r="B173" s="108"/>
      <c r="C173" s="10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108"/>
      <c r="B174" s="108"/>
      <c r="C174" s="10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108"/>
      <c r="B175" s="108"/>
      <c r="C175" s="10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108"/>
      <c r="B176" s="108"/>
      <c r="C176" s="10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108"/>
      <c r="B177" s="108"/>
      <c r="C177" s="10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108"/>
      <c r="B178" s="108"/>
      <c r="C178" s="10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108"/>
      <c r="B179" s="108"/>
      <c r="C179" s="10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108"/>
      <c r="B180" s="108"/>
      <c r="C180" s="10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108"/>
      <c r="B181" s="108"/>
      <c r="C181" s="10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108"/>
      <c r="B182" s="108"/>
      <c r="C182" s="10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108"/>
      <c r="B183" s="108"/>
      <c r="C183" s="10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108"/>
      <c r="B184" s="108"/>
      <c r="C184" s="10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108"/>
      <c r="B185" s="108"/>
      <c r="C185" s="10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108"/>
      <c r="B186" s="108"/>
      <c r="C186" s="10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108"/>
      <c r="B187" s="108"/>
      <c r="C187" s="10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108"/>
      <c r="B188" s="108"/>
      <c r="C188" s="10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108"/>
      <c r="B189" s="108"/>
      <c r="C189" s="10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108"/>
      <c r="B190" s="108"/>
      <c r="C190" s="10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108"/>
      <c r="B191" s="108"/>
      <c r="C191" s="10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108"/>
      <c r="B192" s="108"/>
      <c r="C192" s="10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108"/>
      <c r="B193" s="108"/>
      <c r="C193" s="10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108"/>
      <c r="B194" s="108"/>
      <c r="C194" s="10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108"/>
      <c r="B195" s="108"/>
      <c r="C195" s="10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108"/>
      <c r="B196" s="108"/>
      <c r="C196" s="10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108"/>
      <c r="B197" s="108"/>
      <c r="C197" s="10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108"/>
      <c r="B198" s="108"/>
      <c r="C198" s="10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108"/>
      <c r="B199" s="108"/>
      <c r="C199" s="10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108"/>
      <c r="B200" s="108"/>
      <c r="C200" s="10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108"/>
      <c r="B201" s="108"/>
      <c r="C201" s="10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108"/>
      <c r="B202" s="108"/>
      <c r="C202" s="10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108"/>
      <c r="B203" s="108"/>
      <c r="C203" s="10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108"/>
      <c r="B204" s="108"/>
      <c r="C204" s="10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108"/>
      <c r="B205" s="108"/>
      <c r="C205" s="10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108"/>
      <c r="B206" s="108"/>
      <c r="C206" s="10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108"/>
      <c r="B207" s="108"/>
      <c r="C207" s="10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108"/>
      <c r="B208" s="108"/>
      <c r="C208" s="10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108"/>
      <c r="B209" s="108"/>
      <c r="C209" s="10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108"/>
      <c r="B210" s="108"/>
      <c r="C210" s="10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108"/>
      <c r="B211" s="108"/>
      <c r="C211" s="10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108"/>
      <c r="B212" s="108"/>
      <c r="C212" s="10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108"/>
      <c r="B213" s="108"/>
      <c r="C213" s="10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108"/>
      <c r="B214" s="108"/>
      <c r="C214" s="10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108"/>
      <c r="B215" s="108"/>
      <c r="C215" s="10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108"/>
      <c r="B216" s="108"/>
      <c r="C216" s="10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108"/>
      <c r="B217" s="108"/>
      <c r="C217" s="10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108"/>
      <c r="B218" s="108"/>
      <c r="C218" s="10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108"/>
      <c r="B219" s="108"/>
      <c r="C219" s="10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108"/>
      <c r="B220" s="108"/>
      <c r="C220" s="10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108"/>
      <c r="B221" s="108"/>
      <c r="C221" s="10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108"/>
      <c r="B222" s="108"/>
      <c r="C222" s="10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108"/>
      <c r="B223" s="108"/>
      <c r="C223" s="10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108"/>
      <c r="B224" s="108"/>
      <c r="C224" s="10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108"/>
      <c r="B225" s="108"/>
      <c r="C225" s="10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108"/>
      <c r="B226" s="108"/>
      <c r="C226" s="10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108"/>
      <c r="B227" s="108"/>
      <c r="C227" s="10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108"/>
      <c r="B228" s="108"/>
      <c r="C228" s="10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108"/>
      <c r="B229" s="108"/>
      <c r="C229" s="10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108"/>
      <c r="B230" s="108"/>
      <c r="C230" s="10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108"/>
      <c r="B231" s="108"/>
      <c r="C231" s="10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108"/>
      <c r="B232" s="108"/>
      <c r="C232" s="10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108"/>
      <c r="B233" s="108"/>
      <c r="C233" s="10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108"/>
      <c r="B234" s="108"/>
      <c r="C234" s="10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108"/>
      <c r="B235" s="108"/>
      <c r="C235" s="10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108"/>
      <c r="B236" s="108"/>
      <c r="C236" s="10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108"/>
      <c r="B237" s="108"/>
      <c r="C237" s="10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108"/>
      <c r="B238" s="108"/>
      <c r="C238" s="10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108"/>
      <c r="B239" s="108"/>
      <c r="C239" s="10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108"/>
      <c r="B240" s="108"/>
      <c r="C240" s="10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108"/>
      <c r="B241" s="108"/>
      <c r="C241" s="10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108"/>
      <c r="B242" s="108"/>
      <c r="C242" s="10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108"/>
      <c r="B243" s="108"/>
      <c r="C243" s="10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108"/>
      <c r="B244" s="108"/>
      <c r="C244" s="10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108"/>
      <c r="B245" s="108"/>
      <c r="C245" s="10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108"/>
      <c r="B246" s="108"/>
      <c r="C246" s="10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108"/>
      <c r="B247" s="108"/>
      <c r="C247" s="10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108"/>
      <c r="B248" s="108"/>
      <c r="C248" s="10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108"/>
      <c r="B249" s="108"/>
      <c r="C249" s="10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108"/>
      <c r="B250" s="108"/>
      <c r="C250" s="10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108"/>
      <c r="B251" s="108"/>
      <c r="C251" s="10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108"/>
      <c r="B252" s="108"/>
      <c r="C252" s="10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108"/>
      <c r="B253" s="108"/>
      <c r="C253" s="10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108"/>
      <c r="B254" s="108"/>
      <c r="C254" s="10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108"/>
      <c r="B255" s="108"/>
      <c r="C255" s="10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108"/>
      <c r="B256" s="108"/>
      <c r="C256" s="10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108"/>
      <c r="B257" s="108"/>
      <c r="C257" s="10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108"/>
      <c r="B258" s="108"/>
      <c r="C258" s="10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108"/>
      <c r="B259" s="108"/>
      <c r="C259" s="10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108"/>
      <c r="B260" s="108"/>
      <c r="C260" s="10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108"/>
      <c r="B261" s="108"/>
      <c r="C261" s="10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108"/>
      <c r="B262" s="108"/>
      <c r="C262" s="10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108"/>
      <c r="B263" s="108"/>
      <c r="C263" s="10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108"/>
      <c r="B264" s="108"/>
      <c r="C264" s="10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108"/>
      <c r="B265" s="108"/>
      <c r="C265" s="10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108"/>
      <c r="B266" s="108"/>
      <c r="C266" s="10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108"/>
      <c r="B267" s="108"/>
      <c r="C267" s="10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108"/>
      <c r="B268" s="108"/>
      <c r="C268" s="10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108"/>
      <c r="B269" s="108"/>
      <c r="C269" s="10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108"/>
      <c r="B270" s="108"/>
      <c r="C270" s="10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108"/>
      <c r="B271" s="108"/>
      <c r="C271" s="10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108"/>
      <c r="B272" s="108"/>
      <c r="C272" s="10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108"/>
      <c r="B273" s="108"/>
      <c r="C273" s="10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108"/>
      <c r="B274" s="108"/>
      <c r="C274" s="10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108"/>
      <c r="B275" s="108"/>
      <c r="C275" s="10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108"/>
      <c r="B276" s="108"/>
      <c r="C276" s="10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108"/>
      <c r="B277" s="108"/>
      <c r="C277" s="10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108"/>
      <c r="B278" s="108"/>
      <c r="C278" s="10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108"/>
      <c r="B279" s="108"/>
      <c r="C279" s="10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108"/>
      <c r="B280" s="108"/>
      <c r="C280" s="10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108"/>
      <c r="B281" s="108"/>
      <c r="C281" s="10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108"/>
      <c r="B282" s="108"/>
      <c r="C282" s="10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108"/>
      <c r="B283" s="108"/>
      <c r="C283" s="10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108"/>
      <c r="B284" s="108"/>
      <c r="C284" s="10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108"/>
      <c r="B285" s="108"/>
      <c r="C285" s="10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108"/>
      <c r="B286" s="108"/>
      <c r="C286" s="10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108"/>
      <c r="B287" s="108"/>
      <c r="C287" s="10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108"/>
      <c r="B288" s="108"/>
      <c r="C288" s="10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108"/>
      <c r="B289" s="108"/>
      <c r="C289" s="10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108"/>
      <c r="B290" s="108"/>
      <c r="C290" s="10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108"/>
      <c r="B291" s="108"/>
      <c r="C291" s="10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108"/>
      <c r="B292" s="108"/>
      <c r="C292" s="10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108"/>
      <c r="B293" s="108"/>
      <c r="C293" s="10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108"/>
      <c r="B294" s="108"/>
      <c r="C294" s="10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108"/>
      <c r="B295" s="108"/>
      <c r="C295" s="10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108"/>
      <c r="B296" s="108"/>
      <c r="C296" s="10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108"/>
      <c r="B297" s="108"/>
      <c r="C297" s="10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108"/>
      <c r="B298" s="108"/>
      <c r="C298" s="10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108"/>
      <c r="B299" s="108"/>
      <c r="C299" s="10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108"/>
      <c r="B300" s="108"/>
      <c r="C300" s="10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108"/>
      <c r="B301" s="108"/>
      <c r="C301" s="10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108"/>
      <c r="B302" s="108"/>
      <c r="C302" s="10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108"/>
      <c r="B303" s="108"/>
      <c r="C303" s="10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108"/>
      <c r="B304" s="108"/>
      <c r="C304" s="10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108"/>
      <c r="B305" s="108"/>
      <c r="C305" s="10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108"/>
      <c r="B306" s="108"/>
      <c r="C306" s="10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108"/>
      <c r="B307" s="108"/>
      <c r="C307" s="10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108"/>
      <c r="B308" s="108"/>
      <c r="C308" s="10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108"/>
      <c r="B309" s="108"/>
      <c r="C309" s="10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108"/>
      <c r="B310" s="108"/>
      <c r="C310" s="10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108"/>
      <c r="B311" s="108"/>
      <c r="C311" s="10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108"/>
      <c r="B312" s="108"/>
      <c r="C312" s="10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108"/>
      <c r="B313" s="108"/>
      <c r="C313" s="10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108"/>
      <c r="B314" s="108"/>
      <c r="C314" s="10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108"/>
      <c r="B315" s="108"/>
      <c r="C315" s="10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108"/>
      <c r="B316" s="108"/>
      <c r="C316" s="10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108"/>
      <c r="B317" s="108"/>
      <c r="C317" s="10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108"/>
      <c r="B318" s="108"/>
      <c r="C318" s="10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108"/>
      <c r="B319" s="108"/>
      <c r="C319" s="10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108"/>
      <c r="B320" s="108"/>
      <c r="C320" s="10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108"/>
      <c r="B321" s="108"/>
      <c r="C321" s="10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108"/>
      <c r="B322" s="108"/>
      <c r="C322" s="10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108"/>
      <c r="B323" s="108"/>
      <c r="C323" s="10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108"/>
      <c r="B324" s="108"/>
      <c r="C324" s="10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108"/>
      <c r="B325" s="108"/>
      <c r="C325" s="10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108"/>
      <c r="B326" s="108"/>
      <c r="C326" s="10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108"/>
      <c r="B327" s="108"/>
      <c r="C327" s="10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108"/>
      <c r="B328" s="108"/>
      <c r="C328" s="10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108"/>
      <c r="B329" s="108"/>
      <c r="C329" s="10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108"/>
      <c r="B330" s="108"/>
      <c r="C330" s="10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108"/>
      <c r="B331" s="108"/>
      <c r="C331" s="10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108"/>
      <c r="B332" s="108"/>
      <c r="C332" s="10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108"/>
      <c r="B333" s="108"/>
      <c r="C333" s="10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108"/>
      <c r="B334" s="108"/>
      <c r="C334" s="10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108"/>
      <c r="B335" s="108"/>
      <c r="C335" s="10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108"/>
      <c r="B336" s="108"/>
      <c r="C336" s="10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108"/>
      <c r="B337" s="108"/>
      <c r="C337" s="10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108"/>
      <c r="B338" s="108"/>
      <c r="C338" s="10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108"/>
      <c r="B339" s="108"/>
      <c r="C339" s="10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108"/>
      <c r="B340" s="108"/>
      <c r="C340" s="10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108"/>
      <c r="B341" s="108"/>
      <c r="C341" s="10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108"/>
      <c r="B342" s="108"/>
      <c r="C342" s="10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108"/>
      <c r="B343" s="108"/>
      <c r="C343" s="10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108"/>
      <c r="B344" s="108"/>
      <c r="C344" s="10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108"/>
      <c r="B345" s="108"/>
      <c r="C345" s="10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108"/>
      <c r="B346" s="108"/>
      <c r="C346" s="10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108"/>
      <c r="B347" s="108"/>
      <c r="C347" s="10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108"/>
      <c r="B348" s="108"/>
      <c r="C348" s="10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108"/>
      <c r="B349" s="108"/>
      <c r="C349" s="10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108"/>
      <c r="B350" s="108"/>
      <c r="C350" s="10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108"/>
      <c r="B351" s="108"/>
      <c r="C351" s="10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108"/>
      <c r="B352" s="108"/>
      <c r="C352" s="10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108"/>
      <c r="B353" s="108"/>
      <c r="C353" s="10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108"/>
      <c r="B354" s="108"/>
      <c r="C354" s="10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108"/>
      <c r="B355" s="108"/>
      <c r="C355" s="10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108"/>
      <c r="B356" s="108"/>
      <c r="C356" s="10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108"/>
      <c r="B357" s="108"/>
      <c r="C357" s="10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108"/>
      <c r="B358" s="108"/>
      <c r="C358" s="10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108"/>
      <c r="B359" s="108"/>
      <c r="C359" s="10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108"/>
      <c r="B360" s="108"/>
      <c r="C360" s="10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108"/>
      <c r="B361" s="108"/>
      <c r="C361" s="10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108"/>
      <c r="B362" s="108"/>
      <c r="C362" s="10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108"/>
      <c r="B363" s="108"/>
      <c r="C363" s="10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108"/>
      <c r="B364" s="108"/>
      <c r="C364" s="10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108"/>
      <c r="B365" s="108"/>
      <c r="C365" s="10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108"/>
      <c r="B366" s="108"/>
      <c r="C366" s="10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108"/>
      <c r="B367" s="108"/>
      <c r="C367" s="10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108"/>
      <c r="B368" s="108"/>
      <c r="C368" s="10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108"/>
      <c r="B369" s="108"/>
      <c r="C369" s="10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108"/>
      <c r="B370" s="108"/>
      <c r="C370" s="10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108"/>
      <c r="B371" s="108"/>
      <c r="C371" s="10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108"/>
      <c r="B372" s="108"/>
      <c r="C372" s="10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108"/>
      <c r="B373" s="108"/>
      <c r="C373" s="10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108"/>
      <c r="B374" s="108"/>
      <c r="C374" s="10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108"/>
      <c r="B375" s="108"/>
      <c r="C375" s="10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108"/>
      <c r="B376" s="108"/>
      <c r="C376" s="10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108"/>
      <c r="B377" s="108"/>
      <c r="C377" s="10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108"/>
      <c r="B378" s="108"/>
      <c r="C378" s="10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108"/>
      <c r="B379" s="108"/>
      <c r="C379" s="10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108"/>
      <c r="B380" s="108"/>
      <c r="C380" s="10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108"/>
      <c r="B381" s="108"/>
      <c r="C381" s="10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108"/>
      <c r="B382" s="108"/>
      <c r="C382" s="10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108"/>
      <c r="B383" s="108"/>
      <c r="C383" s="10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108"/>
      <c r="B384" s="108"/>
      <c r="C384" s="10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108"/>
      <c r="B385" s="108"/>
      <c r="C385" s="10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108"/>
      <c r="B386" s="108"/>
      <c r="C386" s="10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108"/>
      <c r="B387" s="108"/>
      <c r="C387" s="10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108"/>
      <c r="B388" s="108"/>
      <c r="C388" s="10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108"/>
      <c r="B389" s="108"/>
      <c r="C389" s="10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108"/>
      <c r="B390" s="108"/>
      <c r="C390" s="10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108"/>
      <c r="B391" s="108"/>
      <c r="C391" s="10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108"/>
      <c r="B392" s="108"/>
      <c r="C392" s="10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108"/>
      <c r="B393" s="108"/>
      <c r="C393" s="10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108"/>
      <c r="B394" s="108"/>
      <c r="C394" s="10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108"/>
      <c r="B395" s="108"/>
      <c r="C395" s="10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108"/>
      <c r="B396" s="108"/>
      <c r="C396" s="10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108"/>
      <c r="B397" s="108"/>
      <c r="C397" s="10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108"/>
      <c r="B398" s="108"/>
      <c r="C398" s="10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108"/>
      <c r="B399" s="108"/>
      <c r="C399" s="10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108"/>
      <c r="B400" s="108"/>
      <c r="C400" s="10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108"/>
      <c r="B401" s="108"/>
      <c r="C401" s="10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108"/>
      <c r="B402" s="108"/>
      <c r="C402" s="10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108"/>
      <c r="B403" s="108"/>
      <c r="C403" s="10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108"/>
      <c r="B404" s="108"/>
      <c r="C404" s="10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108"/>
      <c r="B405" s="108"/>
      <c r="C405" s="10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108"/>
      <c r="B406" s="108"/>
      <c r="C406" s="10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108"/>
      <c r="B407" s="108"/>
      <c r="C407" s="10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108"/>
      <c r="B408" s="108"/>
      <c r="C408" s="10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108"/>
      <c r="B409" s="108"/>
      <c r="C409" s="10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108"/>
      <c r="B410" s="108"/>
      <c r="C410" s="10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108"/>
      <c r="B411" s="108"/>
      <c r="C411" s="10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108"/>
      <c r="B412" s="108"/>
      <c r="C412" s="10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108"/>
      <c r="B413" s="108"/>
      <c r="C413" s="10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108"/>
      <c r="B414" s="108"/>
      <c r="C414" s="10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108"/>
      <c r="B415" s="108"/>
      <c r="C415" s="10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108"/>
      <c r="B416" s="108"/>
      <c r="C416" s="10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108"/>
      <c r="B417" s="108"/>
      <c r="C417" s="10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108"/>
      <c r="B418" s="108"/>
      <c r="C418" s="10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108"/>
      <c r="B419" s="108"/>
      <c r="C419" s="10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108"/>
      <c r="B420" s="108"/>
      <c r="C420" s="10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108"/>
      <c r="B421" s="108"/>
      <c r="C421" s="10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108"/>
      <c r="B422" s="108"/>
      <c r="C422" s="10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108"/>
      <c r="B423" s="108"/>
      <c r="C423" s="10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108"/>
      <c r="B424" s="108"/>
      <c r="C424" s="10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108"/>
      <c r="B425" s="108"/>
      <c r="C425" s="10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108"/>
      <c r="B426" s="108"/>
      <c r="C426" s="10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108"/>
      <c r="B427" s="108"/>
      <c r="C427" s="10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108"/>
      <c r="B428" s="108"/>
      <c r="C428" s="10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108"/>
      <c r="B429" s="108"/>
      <c r="C429" s="10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108"/>
      <c r="B430" s="108"/>
      <c r="C430" s="10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108"/>
      <c r="B431" s="108"/>
      <c r="C431" s="10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108"/>
      <c r="B432" s="108"/>
      <c r="C432" s="10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108"/>
      <c r="B433" s="108"/>
      <c r="C433" s="10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108"/>
      <c r="B434" s="108"/>
      <c r="C434" s="10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108"/>
      <c r="B435" s="108"/>
      <c r="C435" s="10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108"/>
      <c r="B436" s="108"/>
      <c r="C436" s="10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108"/>
      <c r="B437" s="108"/>
      <c r="C437" s="10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108"/>
      <c r="B438" s="108"/>
      <c r="C438" s="10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108"/>
      <c r="B439" s="108"/>
      <c r="C439" s="10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108"/>
      <c r="B440" s="108"/>
      <c r="C440" s="10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108"/>
      <c r="B441" s="108"/>
      <c r="C441" s="10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108"/>
      <c r="B442" s="108"/>
      <c r="C442" s="10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108"/>
      <c r="B443" s="108"/>
      <c r="C443" s="10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108"/>
      <c r="B444" s="108"/>
      <c r="C444" s="10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108"/>
      <c r="B445" s="108"/>
      <c r="C445" s="10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108"/>
      <c r="B446" s="108"/>
      <c r="C446" s="10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108"/>
      <c r="B447" s="108"/>
      <c r="C447" s="10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108"/>
      <c r="B448" s="108"/>
      <c r="C448" s="10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108"/>
      <c r="B449" s="108"/>
      <c r="C449" s="10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108"/>
      <c r="B450" s="108"/>
      <c r="C450" s="10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108"/>
      <c r="B451" s="108"/>
      <c r="C451" s="10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108"/>
      <c r="B452" s="108"/>
      <c r="C452" s="10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108"/>
      <c r="B453" s="108"/>
      <c r="C453" s="10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108"/>
      <c r="B454" s="108"/>
      <c r="C454" s="10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108"/>
      <c r="B455" s="108"/>
      <c r="C455" s="10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108"/>
      <c r="B456" s="108"/>
      <c r="C456" s="10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108"/>
      <c r="B457" s="108"/>
      <c r="C457" s="10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108"/>
      <c r="B458" s="108"/>
      <c r="C458" s="10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108"/>
      <c r="B459" s="108"/>
      <c r="C459" s="10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108"/>
      <c r="B460" s="108"/>
      <c r="C460" s="10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108"/>
      <c r="B461" s="108"/>
      <c r="C461" s="10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108"/>
      <c r="B462" s="108"/>
      <c r="C462" s="10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108"/>
      <c r="B463" s="108"/>
      <c r="C463" s="10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108"/>
      <c r="B464" s="108"/>
      <c r="C464" s="10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108"/>
      <c r="B465" s="108"/>
      <c r="C465" s="10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108"/>
      <c r="B466" s="108"/>
      <c r="C466" s="10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108"/>
      <c r="B467" s="108"/>
      <c r="C467" s="10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108"/>
      <c r="B468" s="108"/>
      <c r="C468" s="10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108"/>
      <c r="B469" s="108"/>
      <c r="C469" s="10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108"/>
      <c r="B470" s="108"/>
      <c r="C470" s="10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108"/>
      <c r="B471" s="108"/>
      <c r="C471" s="10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108"/>
      <c r="B472" s="108"/>
      <c r="C472" s="10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108"/>
      <c r="B473" s="108"/>
      <c r="C473" s="10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108"/>
      <c r="B474" s="108"/>
      <c r="C474" s="10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108"/>
      <c r="B475" s="108"/>
      <c r="C475" s="10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108"/>
      <c r="B476" s="108"/>
      <c r="C476" s="10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108"/>
      <c r="B477" s="108"/>
      <c r="C477" s="10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108"/>
      <c r="B478" s="108"/>
      <c r="C478" s="10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108"/>
      <c r="B479" s="108"/>
      <c r="C479" s="10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108"/>
      <c r="B480" s="108"/>
      <c r="C480" s="10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108"/>
      <c r="B481" s="108"/>
      <c r="C481" s="10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108"/>
      <c r="B482" s="108"/>
      <c r="C482" s="10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108"/>
      <c r="B483" s="108"/>
      <c r="C483" s="10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108"/>
      <c r="B484" s="108"/>
      <c r="C484" s="10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108"/>
      <c r="B485" s="108"/>
      <c r="C485" s="10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108"/>
      <c r="B486" s="108"/>
      <c r="C486" s="10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108"/>
      <c r="B487" s="108"/>
      <c r="C487" s="10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108"/>
      <c r="B488" s="108"/>
      <c r="C488" s="10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108"/>
      <c r="B489" s="108"/>
      <c r="C489" s="10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108"/>
      <c r="B490" s="108"/>
      <c r="C490" s="10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108"/>
      <c r="B491" s="108"/>
      <c r="C491" s="10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108"/>
      <c r="B492" s="108"/>
      <c r="C492" s="10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108"/>
      <c r="B493" s="108"/>
      <c r="C493" s="10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108"/>
      <c r="B494" s="108"/>
      <c r="C494" s="10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108"/>
      <c r="B495" s="108"/>
      <c r="C495" s="10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108"/>
      <c r="B496" s="108"/>
      <c r="C496" s="10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108"/>
      <c r="B497" s="108"/>
      <c r="C497" s="10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108"/>
      <c r="B498" s="108"/>
      <c r="C498" s="10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108"/>
      <c r="B499" s="108"/>
      <c r="C499" s="10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108"/>
      <c r="B500" s="108"/>
      <c r="C500" s="10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108"/>
      <c r="B501" s="108"/>
      <c r="C501" s="10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108"/>
      <c r="B502" s="108"/>
      <c r="C502" s="10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108"/>
      <c r="B503" s="108"/>
      <c r="C503" s="10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108"/>
      <c r="B504" s="108"/>
      <c r="C504" s="10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108"/>
      <c r="B505" s="108"/>
      <c r="C505" s="10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108"/>
      <c r="B506" s="108"/>
      <c r="C506" s="10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108"/>
      <c r="B507" s="108"/>
      <c r="C507" s="10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108"/>
      <c r="B508" s="108"/>
      <c r="C508" s="10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108"/>
      <c r="B509" s="108"/>
      <c r="C509" s="10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108"/>
      <c r="B510" s="108"/>
      <c r="C510" s="10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108"/>
      <c r="B511" s="108"/>
      <c r="C511" s="10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108"/>
      <c r="B512" s="108"/>
      <c r="C512" s="10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108"/>
      <c r="B513" s="108"/>
      <c r="C513" s="10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108"/>
      <c r="B514" s="108"/>
      <c r="C514" s="10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108"/>
      <c r="B515" s="108"/>
      <c r="C515" s="10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108"/>
      <c r="B516" s="108"/>
      <c r="C516" s="10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108"/>
      <c r="B517" s="108"/>
      <c r="C517" s="10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108"/>
      <c r="B518" s="108"/>
      <c r="C518" s="10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108"/>
      <c r="B519" s="108"/>
      <c r="C519" s="10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108"/>
      <c r="B520" s="108"/>
      <c r="C520" s="10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108"/>
      <c r="B521" s="108"/>
      <c r="C521" s="10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108"/>
      <c r="B522" s="108"/>
      <c r="C522" s="10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108"/>
      <c r="B523" s="108"/>
      <c r="C523" s="10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108"/>
      <c r="B524" s="108"/>
      <c r="C524" s="10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108"/>
      <c r="B525" s="108"/>
      <c r="C525" s="10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108"/>
      <c r="B526" s="108"/>
      <c r="C526" s="10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108"/>
      <c r="B527" s="108"/>
      <c r="C527" s="10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108"/>
      <c r="B528" s="108"/>
      <c r="C528" s="10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108"/>
      <c r="B529" s="108"/>
      <c r="C529" s="10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108"/>
      <c r="B530" s="108"/>
      <c r="C530" s="10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108"/>
      <c r="B531" s="108"/>
      <c r="C531" s="10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108"/>
      <c r="B532" s="108"/>
      <c r="C532" s="10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108"/>
      <c r="B533" s="108"/>
      <c r="C533" s="10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108"/>
      <c r="B534" s="108"/>
      <c r="C534" s="10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108"/>
      <c r="B535" s="108"/>
      <c r="C535" s="10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108"/>
      <c r="B536" s="108"/>
      <c r="C536" s="10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108"/>
      <c r="B537" s="108"/>
      <c r="C537" s="10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108"/>
      <c r="B538" s="108"/>
      <c r="C538" s="10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108"/>
      <c r="B539" s="108"/>
      <c r="C539" s="10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108"/>
      <c r="B540" s="108"/>
      <c r="C540" s="10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108"/>
      <c r="B541" s="108"/>
      <c r="C541" s="10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108"/>
      <c r="B542" s="108"/>
      <c r="C542" s="10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108"/>
      <c r="B543" s="108"/>
      <c r="C543" s="10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108"/>
      <c r="B544" s="108"/>
      <c r="C544" s="10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108"/>
      <c r="B545" s="108"/>
      <c r="C545" s="10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108"/>
      <c r="B546" s="108"/>
      <c r="C546" s="10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108"/>
      <c r="B547" s="108"/>
      <c r="C547" s="10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108"/>
      <c r="B548" s="108"/>
      <c r="C548" s="10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108"/>
      <c r="B549" s="108"/>
      <c r="C549" s="10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108"/>
      <c r="B550" s="108"/>
      <c r="C550" s="10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108"/>
      <c r="B551" s="108"/>
      <c r="C551" s="10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108"/>
      <c r="B552" s="108"/>
      <c r="C552" s="10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108"/>
      <c r="B553" s="108"/>
      <c r="C553" s="10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108"/>
      <c r="B554" s="108"/>
      <c r="C554" s="10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108"/>
      <c r="B555" s="108"/>
      <c r="C555" s="10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108"/>
      <c r="B556" s="108"/>
      <c r="C556" s="10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108"/>
      <c r="B557" s="108"/>
      <c r="C557" s="10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108"/>
      <c r="B558" s="108"/>
      <c r="C558" s="10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108"/>
      <c r="B559" s="108"/>
      <c r="C559" s="10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108"/>
      <c r="B560" s="108"/>
      <c r="C560" s="10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108"/>
      <c r="B561" s="108"/>
      <c r="C561" s="10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108"/>
      <c r="B562" s="108"/>
      <c r="C562" s="10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108"/>
      <c r="B563" s="108"/>
      <c r="C563" s="10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108"/>
      <c r="B564" s="108"/>
      <c r="C564" s="10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108"/>
      <c r="B565" s="108"/>
      <c r="C565" s="10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108"/>
      <c r="B566" s="108"/>
      <c r="C566" s="10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108"/>
      <c r="B567" s="108"/>
      <c r="C567" s="10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108"/>
      <c r="B568" s="108"/>
      <c r="C568" s="10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108"/>
      <c r="B569" s="108"/>
      <c r="C569" s="10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108"/>
      <c r="B570" s="108"/>
      <c r="C570" s="10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108"/>
      <c r="B571" s="108"/>
      <c r="C571" s="10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108"/>
      <c r="B572" s="108"/>
      <c r="C572" s="10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108"/>
      <c r="B573" s="108"/>
      <c r="C573" s="10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108"/>
      <c r="B574" s="108"/>
      <c r="C574" s="10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108"/>
      <c r="B575" s="108"/>
      <c r="C575" s="10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108"/>
      <c r="B576" s="108"/>
      <c r="C576" s="10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108"/>
      <c r="B577" s="108"/>
      <c r="C577" s="10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108"/>
      <c r="B578" s="108"/>
      <c r="C578" s="10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108"/>
      <c r="B579" s="108"/>
      <c r="C579" s="10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108"/>
      <c r="B580" s="108"/>
      <c r="C580" s="10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108"/>
      <c r="B581" s="108"/>
      <c r="C581" s="10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108"/>
      <c r="B582" s="108"/>
      <c r="C582" s="10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108"/>
      <c r="B583" s="108"/>
      <c r="C583" s="10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108"/>
      <c r="B584" s="108"/>
      <c r="C584" s="10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108"/>
      <c r="B585" s="108"/>
      <c r="C585" s="10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108"/>
      <c r="B586" s="108"/>
      <c r="C586" s="10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108"/>
      <c r="B587" s="108"/>
      <c r="C587" s="10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108"/>
      <c r="B588" s="108"/>
      <c r="C588" s="10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108"/>
      <c r="B589" s="108"/>
      <c r="C589" s="10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108"/>
      <c r="B590" s="108"/>
      <c r="C590" s="10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108"/>
      <c r="B591" s="108"/>
      <c r="C591" s="10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108"/>
      <c r="B592" s="108"/>
      <c r="C592" s="10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108"/>
      <c r="B593" s="108"/>
      <c r="C593" s="10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108"/>
      <c r="B594" s="108"/>
      <c r="C594" s="10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108"/>
      <c r="B595" s="108"/>
      <c r="C595" s="10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108"/>
      <c r="B596" s="108"/>
      <c r="C596" s="10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108"/>
      <c r="B597" s="108"/>
      <c r="C597" s="10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108"/>
      <c r="B598" s="108"/>
      <c r="C598" s="10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108"/>
      <c r="B599" s="108"/>
      <c r="C599" s="10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108"/>
      <c r="B600" s="108"/>
      <c r="C600" s="10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108"/>
      <c r="B601" s="108"/>
      <c r="C601" s="10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108"/>
      <c r="B602" s="108"/>
      <c r="C602" s="10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108"/>
      <c r="B603" s="108"/>
      <c r="C603" s="10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108"/>
      <c r="B604" s="108"/>
      <c r="C604" s="10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108"/>
      <c r="B605" s="108"/>
      <c r="C605" s="10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108"/>
      <c r="B606" s="108"/>
      <c r="C606" s="10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108"/>
      <c r="B607" s="108"/>
      <c r="C607" s="10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108"/>
      <c r="B608" s="108"/>
      <c r="C608" s="10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108"/>
      <c r="B609" s="108"/>
      <c r="C609" s="10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108"/>
      <c r="B610" s="108"/>
      <c r="C610" s="10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108"/>
      <c r="B611" s="108"/>
      <c r="C611" s="10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108"/>
      <c r="B612" s="108"/>
      <c r="C612" s="10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108"/>
      <c r="B613" s="108"/>
      <c r="C613" s="10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108"/>
      <c r="B614" s="108"/>
      <c r="C614" s="10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108"/>
      <c r="B615" s="108"/>
      <c r="C615" s="10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108"/>
      <c r="B616" s="108"/>
      <c r="C616" s="10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108"/>
      <c r="B617" s="108"/>
      <c r="C617" s="10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108"/>
      <c r="B618" s="108"/>
      <c r="C618" s="10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108"/>
      <c r="B619" s="108"/>
      <c r="C619" s="10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108"/>
      <c r="B620" s="108"/>
      <c r="C620" s="10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108"/>
      <c r="B621" s="108"/>
      <c r="C621" s="10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108"/>
      <c r="B622" s="108"/>
      <c r="C622" s="10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108"/>
      <c r="B623" s="108"/>
      <c r="C623" s="10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108"/>
      <c r="B624" s="108"/>
      <c r="C624" s="10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108"/>
      <c r="B625" s="108"/>
      <c r="C625" s="10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108"/>
      <c r="B626" s="108"/>
      <c r="C626" s="10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108"/>
      <c r="B627" s="108"/>
      <c r="C627" s="10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108"/>
      <c r="B628" s="108"/>
      <c r="C628" s="10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108"/>
      <c r="B629" s="108"/>
      <c r="C629" s="10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108"/>
      <c r="B630" s="108"/>
      <c r="C630" s="10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108"/>
      <c r="B631" s="108"/>
      <c r="C631" s="10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108"/>
      <c r="B632" s="108"/>
      <c r="C632" s="10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108"/>
      <c r="B633" s="108"/>
      <c r="C633" s="10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108"/>
      <c r="B634" s="108"/>
      <c r="C634" s="10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108"/>
      <c r="B635" s="108"/>
      <c r="C635" s="10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108"/>
      <c r="B636" s="108"/>
      <c r="C636" s="10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108"/>
      <c r="B637" s="108"/>
      <c r="C637" s="10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108"/>
      <c r="B638" s="108"/>
      <c r="C638" s="10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108"/>
      <c r="B639" s="108"/>
      <c r="C639" s="10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108"/>
      <c r="B640" s="108"/>
      <c r="C640" s="10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108"/>
      <c r="B641" s="108"/>
      <c r="C641" s="10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108"/>
      <c r="B642" s="108"/>
      <c r="C642" s="10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108"/>
      <c r="B643" s="108"/>
      <c r="C643" s="10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108"/>
      <c r="B644" s="108"/>
      <c r="C644" s="10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108"/>
      <c r="B645" s="108"/>
      <c r="C645" s="10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108"/>
      <c r="B646" s="108"/>
      <c r="C646" s="10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108"/>
      <c r="B647" s="108"/>
      <c r="C647" s="10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108"/>
      <c r="B648" s="108"/>
      <c r="C648" s="10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108"/>
      <c r="B649" s="108"/>
      <c r="C649" s="10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108"/>
      <c r="B650" s="108"/>
      <c r="C650" s="10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108"/>
      <c r="B651" s="108"/>
      <c r="C651" s="10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108"/>
      <c r="B652" s="108"/>
      <c r="C652" s="10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108"/>
      <c r="B653" s="108"/>
      <c r="C653" s="10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108"/>
      <c r="B654" s="108"/>
      <c r="C654" s="10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108"/>
      <c r="B655" s="108"/>
      <c r="C655" s="10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108"/>
      <c r="B656" s="108"/>
      <c r="C656" s="10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108"/>
      <c r="B657" s="108"/>
      <c r="C657" s="10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108"/>
      <c r="B658" s="108"/>
      <c r="C658" s="10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108"/>
      <c r="B659" s="108"/>
      <c r="C659" s="10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108"/>
      <c r="B660" s="108"/>
      <c r="C660" s="10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108"/>
      <c r="B661" s="108"/>
      <c r="C661" s="10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108"/>
      <c r="B662" s="108"/>
      <c r="C662" s="10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108"/>
      <c r="B663" s="108"/>
      <c r="C663" s="10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108"/>
      <c r="B664" s="108"/>
      <c r="C664" s="10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108"/>
      <c r="B665" s="108"/>
      <c r="C665" s="10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108"/>
      <c r="B666" s="108"/>
      <c r="C666" s="10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108"/>
      <c r="B667" s="108"/>
      <c r="C667" s="10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108"/>
      <c r="B668" s="108"/>
      <c r="C668" s="10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108"/>
      <c r="B669" s="108"/>
      <c r="C669" s="10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108"/>
      <c r="B670" s="108"/>
      <c r="C670" s="10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108"/>
      <c r="B671" s="108"/>
      <c r="C671" s="10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108"/>
      <c r="B672" s="108"/>
      <c r="C672" s="10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108"/>
      <c r="B673" s="108"/>
      <c r="C673" s="10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108"/>
      <c r="B674" s="108"/>
      <c r="C674" s="10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108"/>
      <c r="B675" s="108"/>
      <c r="C675" s="10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108"/>
      <c r="B676" s="108"/>
      <c r="C676" s="10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108"/>
      <c r="B677" s="108"/>
      <c r="C677" s="10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108"/>
      <c r="B678" s="108"/>
      <c r="C678" s="10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108"/>
      <c r="B679" s="108"/>
      <c r="C679" s="10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108"/>
      <c r="B680" s="108"/>
      <c r="C680" s="10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108"/>
      <c r="B681" s="108"/>
      <c r="C681" s="10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108"/>
      <c r="B682" s="108"/>
      <c r="C682" s="10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108"/>
      <c r="B683" s="108"/>
      <c r="C683" s="10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108"/>
      <c r="B684" s="108"/>
      <c r="C684" s="10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108"/>
      <c r="B685" s="108"/>
      <c r="C685" s="10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108"/>
      <c r="B686" s="108"/>
      <c r="C686" s="10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108"/>
      <c r="B687" s="108"/>
      <c r="C687" s="10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108"/>
      <c r="B688" s="108"/>
      <c r="C688" s="10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108"/>
      <c r="B689" s="108"/>
      <c r="C689" s="10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108"/>
      <c r="B690" s="108"/>
      <c r="C690" s="10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108"/>
      <c r="B691" s="108"/>
      <c r="C691" s="10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108"/>
      <c r="B692" s="108"/>
      <c r="C692" s="10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108"/>
      <c r="B693" s="108"/>
      <c r="C693" s="10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108"/>
      <c r="B694" s="108"/>
      <c r="C694" s="10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108"/>
      <c r="B695" s="108"/>
      <c r="C695" s="10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108"/>
      <c r="B696" s="108"/>
      <c r="C696" s="10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108"/>
      <c r="B697" s="108"/>
      <c r="C697" s="10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108"/>
      <c r="B698" s="108"/>
      <c r="C698" s="10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108"/>
      <c r="B699" s="108"/>
      <c r="C699" s="10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108"/>
      <c r="B700" s="108"/>
      <c r="C700" s="10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108"/>
      <c r="B701" s="108"/>
      <c r="C701" s="10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108"/>
      <c r="B702" s="108"/>
      <c r="C702" s="10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108"/>
      <c r="B703" s="108"/>
      <c r="C703" s="10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108"/>
      <c r="B704" s="108"/>
      <c r="C704" s="10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108"/>
      <c r="B705" s="108"/>
      <c r="C705" s="10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108"/>
      <c r="B706" s="108"/>
      <c r="C706" s="10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108"/>
      <c r="B707" s="108"/>
      <c r="C707" s="10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108"/>
      <c r="B708" s="108"/>
      <c r="C708" s="10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108"/>
      <c r="B709" s="108"/>
      <c r="C709" s="10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108"/>
      <c r="B710" s="108"/>
      <c r="C710" s="10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108"/>
      <c r="B711" s="108"/>
      <c r="C711" s="10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108"/>
      <c r="B712" s="108"/>
      <c r="C712" s="10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108"/>
      <c r="B713" s="108"/>
      <c r="C713" s="10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108"/>
      <c r="B714" s="108"/>
      <c r="C714" s="10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108"/>
      <c r="B715" s="108"/>
      <c r="C715" s="10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108"/>
      <c r="B716" s="108"/>
      <c r="C716" s="10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108"/>
      <c r="B717" s="108"/>
      <c r="C717" s="10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108"/>
      <c r="B718" s="108"/>
      <c r="C718" s="10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108"/>
      <c r="B719" s="108"/>
      <c r="C719" s="10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108"/>
      <c r="B720" s="108"/>
      <c r="C720" s="10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108"/>
      <c r="B721" s="108"/>
      <c r="C721" s="10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108"/>
      <c r="B722" s="108"/>
      <c r="C722" s="10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108"/>
      <c r="B723" s="108"/>
      <c r="C723" s="10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108"/>
      <c r="B724" s="108"/>
      <c r="C724" s="10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108"/>
      <c r="B725" s="108"/>
      <c r="C725" s="10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108"/>
      <c r="B726" s="108"/>
      <c r="C726" s="10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108"/>
      <c r="B727" s="108"/>
      <c r="C727" s="10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108"/>
      <c r="B728" s="108"/>
      <c r="C728" s="10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108"/>
      <c r="B729" s="108"/>
      <c r="C729" s="10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108"/>
      <c r="B730" s="108"/>
      <c r="C730" s="10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108"/>
      <c r="B731" s="108"/>
      <c r="C731" s="10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108"/>
      <c r="B732" s="108"/>
      <c r="C732" s="10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108"/>
      <c r="B733" s="108"/>
      <c r="C733" s="10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108"/>
      <c r="B734" s="108"/>
      <c r="C734" s="10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108"/>
      <c r="B735" s="108"/>
      <c r="C735" s="10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108"/>
      <c r="B736" s="108"/>
      <c r="C736" s="10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108"/>
      <c r="B737" s="108"/>
      <c r="C737" s="10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108"/>
      <c r="B738" s="108"/>
      <c r="C738" s="10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108"/>
      <c r="B739" s="108"/>
      <c r="C739" s="10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108"/>
      <c r="B740" s="108"/>
      <c r="C740" s="10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108"/>
      <c r="B741" s="108"/>
      <c r="C741" s="10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108"/>
      <c r="B742" s="108"/>
      <c r="C742" s="10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108"/>
      <c r="B743" s="108"/>
      <c r="C743" s="10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108"/>
      <c r="B744" s="108"/>
      <c r="C744" s="10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108"/>
      <c r="B745" s="108"/>
      <c r="C745" s="10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108"/>
      <c r="B746" s="108"/>
      <c r="C746" s="10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108"/>
      <c r="B747" s="108"/>
      <c r="C747" s="10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108"/>
      <c r="B748" s="108"/>
      <c r="C748" s="10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108"/>
      <c r="B749" s="108"/>
      <c r="C749" s="10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108"/>
      <c r="B750" s="108"/>
      <c r="C750" s="10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108"/>
      <c r="B751" s="108"/>
      <c r="C751" s="10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108"/>
      <c r="B752" s="108"/>
      <c r="C752" s="10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108"/>
      <c r="B753" s="108"/>
      <c r="C753" s="10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108"/>
      <c r="B754" s="108"/>
      <c r="C754" s="10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108"/>
      <c r="B755" s="108"/>
      <c r="C755" s="10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108"/>
      <c r="B756" s="108"/>
      <c r="C756" s="10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108"/>
      <c r="B757" s="108"/>
      <c r="C757" s="10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108"/>
      <c r="B758" s="108"/>
      <c r="C758" s="10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108"/>
      <c r="B759" s="108"/>
      <c r="C759" s="10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108"/>
      <c r="B760" s="108"/>
      <c r="C760" s="10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108"/>
      <c r="B761" s="108"/>
      <c r="C761" s="10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108"/>
      <c r="B762" s="108"/>
      <c r="C762" s="10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108"/>
      <c r="B763" s="108"/>
      <c r="C763" s="10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108"/>
      <c r="B764" s="108"/>
      <c r="C764" s="10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108"/>
      <c r="B765" s="108"/>
      <c r="C765" s="10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108"/>
      <c r="B766" s="108"/>
      <c r="C766" s="10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108"/>
      <c r="B767" s="108"/>
      <c r="C767" s="10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108"/>
      <c r="B768" s="108"/>
      <c r="C768" s="10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108"/>
      <c r="B769" s="108"/>
      <c r="C769" s="10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108"/>
      <c r="B770" s="108"/>
      <c r="C770" s="10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108"/>
      <c r="B771" s="108"/>
      <c r="C771" s="10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108"/>
      <c r="B772" s="108"/>
      <c r="C772" s="10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108"/>
      <c r="B773" s="108"/>
      <c r="C773" s="10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108"/>
      <c r="B774" s="108"/>
      <c r="C774" s="10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108"/>
      <c r="B775" s="108"/>
      <c r="C775" s="10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108"/>
      <c r="B776" s="108"/>
      <c r="C776" s="10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108"/>
      <c r="B777" s="108"/>
      <c r="C777" s="10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108"/>
      <c r="B778" s="108"/>
      <c r="C778" s="10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108"/>
      <c r="B779" s="108"/>
      <c r="C779" s="10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108"/>
      <c r="B780" s="108"/>
      <c r="C780" s="10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108"/>
      <c r="B781" s="108"/>
      <c r="C781" s="10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108"/>
      <c r="B782" s="108"/>
      <c r="C782" s="10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108"/>
      <c r="B783" s="108"/>
      <c r="C783" s="10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108"/>
      <c r="B784" s="108"/>
      <c r="C784" s="10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108"/>
      <c r="B785" s="108"/>
      <c r="C785" s="10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108"/>
      <c r="B786" s="108"/>
      <c r="C786" s="10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108"/>
      <c r="B787" s="108"/>
      <c r="C787" s="10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108"/>
      <c r="B788" s="108"/>
      <c r="C788" s="10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108"/>
      <c r="B789" s="108"/>
      <c r="C789" s="10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108"/>
      <c r="B790" s="108"/>
      <c r="C790" s="10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108"/>
      <c r="B791" s="108"/>
      <c r="C791" s="10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108"/>
      <c r="B792" s="108"/>
      <c r="C792" s="10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108"/>
      <c r="B793" s="108"/>
      <c r="C793" s="10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108"/>
      <c r="B794" s="108"/>
      <c r="C794" s="10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108"/>
      <c r="B795" s="108"/>
      <c r="C795" s="10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108"/>
      <c r="B796" s="108"/>
      <c r="C796" s="10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108"/>
      <c r="B797" s="108"/>
      <c r="C797" s="10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108"/>
      <c r="B798" s="108"/>
      <c r="C798" s="10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108"/>
      <c r="B799" s="108"/>
      <c r="C799" s="10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108"/>
      <c r="B800" s="108"/>
      <c r="C800" s="10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108"/>
      <c r="B801" s="108"/>
      <c r="C801" s="10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108"/>
      <c r="B802" s="108"/>
      <c r="C802" s="10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108"/>
      <c r="B803" s="108"/>
      <c r="C803" s="10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108"/>
      <c r="B804" s="108"/>
      <c r="C804" s="10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108"/>
      <c r="B805" s="108"/>
      <c r="C805" s="10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108"/>
      <c r="B806" s="108"/>
      <c r="C806" s="10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108"/>
      <c r="B807" s="108"/>
      <c r="C807" s="10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108"/>
      <c r="B808" s="108"/>
      <c r="C808" s="10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108"/>
      <c r="B809" s="108"/>
      <c r="C809" s="10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108"/>
      <c r="B810" s="108"/>
      <c r="C810" s="10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108"/>
      <c r="B811" s="108"/>
      <c r="C811" s="10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108"/>
      <c r="B812" s="108"/>
      <c r="C812" s="10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108"/>
      <c r="B813" s="108"/>
      <c r="C813" s="10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108"/>
      <c r="B814" s="108"/>
      <c r="C814" s="10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108"/>
      <c r="B815" s="108"/>
      <c r="C815" s="10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108"/>
      <c r="B816" s="108"/>
      <c r="C816" s="10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108"/>
      <c r="B817" s="108"/>
      <c r="C817" s="10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108"/>
      <c r="B818" s="108"/>
      <c r="C818" s="10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108"/>
      <c r="B819" s="108"/>
      <c r="C819" s="10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108"/>
      <c r="B820" s="108"/>
      <c r="C820" s="10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108"/>
      <c r="B821" s="108"/>
      <c r="C821" s="10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108"/>
      <c r="B822" s="108"/>
      <c r="C822" s="10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108"/>
      <c r="B823" s="108"/>
      <c r="C823" s="10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108"/>
      <c r="B824" s="108"/>
      <c r="C824" s="10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108"/>
      <c r="B825" s="108"/>
      <c r="C825" s="10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108"/>
      <c r="B826" s="108"/>
      <c r="C826" s="10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108"/>
      <c r="B827" s="108"/>
      <c r="C827" s="10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108"/>
      <c r="B828" s="108"/>
      <c r="C828" s="10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108"/>
      <c r="B829" s="108"/>
      <c r="C829" s="10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108"/>
      <c r="B830" s="108"/>
      <c r="C830" s="10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108"/>
      <c r="B831" s="108"/>
      <c r="C831" s="10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108"/>
      <c r="B832" s="108"/>
      <c r="C832" s="10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108"/>
      <c r="B833" s="108"/>
      <c r="C833" s="10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108"/>
      <c r="B834" s="108"/>
      <c r="C834" s="10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108"/>
      <c r="B835" s="108"/>
      <c r="C835" s="10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108"/>
      <c r="B836" s="108"/>
      <c r="C836" s="10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108"/>
      <c r="B837" s="108"/>
      <c r="C837" s="10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108"/>
      <c r="B838" s="108"/>
      <c r="C838" s="10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108"/>
      <c r="B839" s="108"/>
      <c r="C839" s="10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108"/>
      <c r="B840" s="108"/>
      <c r="C840" s="10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108"/>
      <c r="B841" s="108"/>
      <c r="C841" s="10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108"/>
      <c r="B842" s="108"/>
      <c r="C842" s="10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108"/>
      <c r="B843" s="108"/>
      <c r="C843" s="10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108"/>
      <c r="B844" s="108"/>
      <c r="C844" s="10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108"/>
      <c r="B845" s="108"/>
      <c r="C845" s="10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108"/>
      <c r="B846" s="108"/>
      <c r="C846" s="10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108"/>
      <c r="B847" s="108"/>
      <c r="C847" s="10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108"/>
      <c r="B848" s="108"/>
      <c r="C848" s="10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108"/>
      <c r="B849" s="108"/>
      <c r="C849" s="10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108"/>
      <c r="B850" s="108"/>
      <c r="C850" s="10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108"/>
      <c r="B851" s="108"/>
      <c r="C851" s="10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108"/>
      <c r="B852" s="108"/>
      <c r="C852" s="10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108"/>
      <c r="B853" s="108"/>
      <c r="C853" s="10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108"/>
      <c r="B854" s="108"/>
      <c r="C854" s="10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108"/>
      <c r="B855" s="108"/>
      <c r="C855" s="10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108"/>
      <c r="B856" s="108"/>
      <c r="C856" s="10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108"/>
      <c r="B857" s="108"/>
      <c r="C857" s="10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108"/>
      <c r="B858" s="108"/>
      <c r="C858" s="10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108"/>
      <c r="B859" s="108"/>
      <c r="C859" s="10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108"/>
      <c r="B860" s="108"/>
      <c r="C860" s="10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108"/>
      <c r="B861" s="108"/>
      <c r="C861" s="10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108"/>
      <c r="B862" s="108"/>
      <c r="C862" s="10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108"/>
      <c r="B863" s="108"/>
      <c r="C863" s="10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108"/>
      <c r="B864" s="108"/>
      <c r="C864" s="10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108"/>
      <c r="B865" s="108"/>
      <c r="C865" s="10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108"/>
      <c r="B866" s="108"/>
      <c r="C866" s="10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108"/>
      <c r="B867" s="108"/>
      <c r="C867" s="10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108"/>
      <c r="B868" s="108"/>
      <c r="C868" s="10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108"/>
      <c r="B869" s="108"/>
      <c r="C869" s="10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108"/>
      <c r="B870" s="108"/>
      <c r="C870" s="10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108"/>
      <c r="B871" s="108"/>
      <c r="C871" s="10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108"/>
      <c r="B872" s="108"/>
      <c r="C872" s="10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108"/>
      <c r="B873" s="108"/>
      <c r="C873" s="10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108"/>
      <c r="B874" s="108"/>
      <c r="C874" s="10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108"/>
      <c r="B875" s="108"/>
      <c r="C875" s="10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108"/>
      <c r="B876" s="108"/>
      <c r="C876" s="10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108"/>
      <c r="B877" s="108"/>
      <c r="C877" s="10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108"/>
      <c r="B878" s="108"/>
      <c r="C878" s="10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108"/>
      <c r="B879" s="108"/>
      <c r="C879" s="10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108"/>
      <c r="B880" s="108"/>
      <c r="C880" s="10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108"/>
      <c r="B881" s="108"/>
      <c r="C881" s="10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108"/>
      <c r="B882" s="108"/>
      <c r="C882" s="10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108"/>
      <c r="B883" s="108"/>
      <c r="C883" s="10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108"/>
      <c r="B884" s="108"/>
      <c r="C884" s="10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108"/>
      <c r="B885" s="108"/>
      <c r="C885" s="10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108"/>
      <c r="B886" s="108"/>
      <c r="C886" s="10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108"/>
      <c r="B887" s="108"/>
      <c r="C887" s="10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108"/>
      <c r="B888" s="108"/>
      <c r="C888" s="10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108"/>
      <c r="B889" s="108"/>
      <c r="C889" s="10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108"/>
      <c r="B890" s="108"/>
      <c r="C890" s="10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108"/>
      <c r="B891" s="108"/>
      <c r="C891" s="10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108"/>
      <c r="B892" s="108"/>
      <c r="C892" s="10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108"/>
      <c r="B893" s="108"/>
      <c r="C893" s="10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108"/>
      <c r="B894" s="108"/>
      <c r="C894" s="10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108"/>
      <c r="B895" s="108"/>
      <c r="C895" s="10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108"/>
      <c r="B896" s="108"/>
      <c r="C896" s="10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108"/>
      <c r="B897" s="108"/>
      <c r="C897" s="10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108"/>
      <c r="B898" s="108"/>
      <c r="C898" s="10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108"/>
      <c r="B899" s="108"/>
      <c r="C899" s="10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108"/>
      <c r="B900" s="108"/>
      <c r="C900" s="10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108"/>
      <c r="B901" s="108"/>
      <c r="C901" s="10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108"/>
      <c r="B902" s="108"/>
      <c r="C902" s="10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108"/>
      <c r="B903" s="108"/>
      <c r="C903" s="10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108"/>
      <c r="B904" s="108"/>
      <c r="C904" s="10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108"/>
      <c r="B905" s="108"/>
      <c r="C905" s="10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108"/>
      <c r="B906" s="108"/>
      <c r="C906" s="10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108"/>
      <c r="B907" s="108"/>
      <c r="C907" s="10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108"/>
      <c r="B908" s="108"/>
      <c r="C908" s="10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108"/>
      <c r="B909" s="108"/>
      <c r="C909" s="10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108"/>
      <c r="B910" s="108"/>
      <c r="C910" s="10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108"/>
      <c r="B911" s="108"/>
      <c r="C911" s="10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108"/>
      <c r="B912" s="108"/>
      <c r="C912" s="10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108"/>
      <c r="B913" s="108"/>
      <c r="C913" s="10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108"/>
      <c r="B914" s="108"/>
      <c r="C914" s="10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108"/>
      <c r="B915" s="108"/>
      <c r="C915" s="10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108"/>
      <c r="B916" s="108"/>
      <c r="C916" s="10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108"/>
      <c r="B917" s="108"/>
      <c r="C917" s="10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108"/>
      <c r="B918" s="108"/>
      <c r="C918" s="10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108"/>
      <c r="B919" s="108"/>
      <c r="C919" s="10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108"/>
      <c r="B920" s="108"/>
      <c r="C920" s="10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108"/>
      <c r="B921" s="108"/>
      <c r="C921" s="10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108"/>
      <c r="B922" s="108"/>
      <c r="C922" s="10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108"/>
      <c r="B923" s="108"/>
      <c r="C923" s="10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108"/>
      <c r="B924" s="108"/>
      <c r="C924" s="10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108"/>
      <c r="B925" s="108"/>
      <c r="C925" s="10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108"/>
      <c r="B926" s="108"/>
      <c r="C926" s="10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108"/>
      <c r="B927" s="108"/>
      <c r="C927" s="10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108"/>
      <c r="B928" s="108"/>
      <c r="C928" s="10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108"/>
      <c r="B929" s="108"/>
      <c r="C929" s="10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108"/>
      <c r="B930" s="108"/>
      <c r="C930" s="10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108"/>
      <c r="B931" s="108"/>
      <c r="C931" s="10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108"/>
      <c r="B932" s="108"/>
      <c r="C932" s="10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108"/>
      <c r="B933" s="108"/>
      <c r="C933" s="10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108"/>
      <c r="B934" s="108"/>
      <c r="C934" s="10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108"/>
      <c r="B935" s="108"/>
      <c r="C935" s="10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108"/>
      <c r="B936" s="108"/>
      <c r="C936" s="10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108"/>
      <c r="B937" s="108"/>
      <c r="C937" s="10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108"/>
      <c r="B938" s="108"/>
      <c r="C938" s="10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108"/>
      <c r="B939" s="108"/>
      <c r="C939" s="10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108"/>
      <c r="B940" s="108"/>
      <c r="C940" s="10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108"/>
      <c r="B941" s="108"/>
      <c r="C941" s="10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108"/>
      <c r="B942" s="108"/>
      <c r="C942" s="10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108"/>
      <c r="B943" s="108"/>
      <c r="C943" s="10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108"/>
      <c r="B944" s="108"/>
      <c r="C944" s="10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108"/>
      <c r="B945" s="108"/>
      <c r="C945" s="10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108"/>
      <c r="B946" s="108"/>
      <c r="C946" s="10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108"/>
      <c r="B947" s="108"/>
      <c r="C947" s="10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108"/>
      <c r="B948" s="108"/>
      <c r="C948" s="10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108"/>
      <c r="B949" s="108"/>
      <c r="C949" s="10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108"/>
      <c r="B950" s="108"/>
      <c r="C950" s="10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108"/>
      <c r="B951" s="108"/>
      <c r="C951" s="10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108"/>
      <c r="B952" s="108"/>
      <c r="C952" s="10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108"/>
      <c r="B953" s="108"/>
      <c r="C953" s="10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108"/>
      <c r="B954" s="108"/>
      <c r="C954" s="10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108"/>
      <c r="B955" s="108"/>
      <c r="C955" s="10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108"/>
      <c r="B956" s="108"/>
      <c r="C956" s="10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108"/>
      <c r="B957" s="108"/>
      <c r="C957" s="10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108"/>
      <c r="B958" s="108"/>
      <c r="C958" s="10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108"/>
      <c r="B959" s="108"/>
      <c r="C959" s="10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108"/>
      <c r="B960" s="108"/>
      <c r="C960" s="10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108"/>
      <c r="B961" s="108"/>
      <c r="C961" s="10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108"/>
      <c r="B962" s="108"/>
      <c r="C962" s="10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108"/>
      <c r="B963" s="108"/>
      <c r="C963" s="10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108"/>
      <c r="B964" s="108"/>
      <c r="C964" s="10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108"/>
      <c r="B965" s="108"/>
      <c r="C965" s="10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108"/>
      <c r="B966" s="108"/>
      <c r="C966" s="10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108"/>
      <c r="B967" s="108"/>
      <c r="C967" s="10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108"/>
      <c r="B968" s="108"/>
      <c r="C968" s="10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108"/>
      <c r="B969" s="108"/>
      <c r="C969" s="10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108"/>
      <c r="B970" s="108"/>
      <c r="C970" s="10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108"/>
      <c r="B971" s="108"/>
      <c r="C971" s="10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108"/>
      <c r="B972" s="108"/>
      <c r="C972" s="10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108"/>
      <c r="B973" s="108"/>
      <c r="C973" s="10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108"/>
      <c r="B974" s="108"/>
      <c r="C974" s="10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108"/>
      <c r="B975" s="108"/>
      <c r="C975" s="10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108"/>
      <c r="B976" s="108"/>
      <c r="C976" s="10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108"/>
      <c r="B977" s="108"/>
      <c r="C977" s="10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108"/>
      <c r="B978" s="108"/>
      <c r="C978" s="10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108"/>
      <c r="B979" s="108"/>
      <c r="C979" s="10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108"/>
      <c r="B980" s="108"/>
      <c r="C980" s="10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108"/>
      <c r="B981" s="108"/>
      <c r="C981" s="10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108"/>
      <c r="B982" s="108"/>
      <c r="C982" s="10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108"/>
      <c r="B983" s="108"/>
      <c r="C983" s="10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108"/>
      <c r="B984" s="108"/>
      <c r="C984" s="10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108"/>
      <c r="B985" s="108"/>
      <c r="C985" s="10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108"/>
      <c r="B986" s="108"/>
      <c r="C986" s="10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108"/>
      <c r="B987" s="108"/>
      <c r="C987" s="10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108"/>
      <c r="B988" s="108"/>
      <c r="C988" s="10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108"/>
      <c r="B989" s="108"/>
      <c r="C989" s="10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108"/>
      <c r="B990" s="108"/>
      <c r="C990" s="10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108"/>
      <c r="B991" s="108"/>
      <c r="C991" s="10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108"/>
      <c r="B992" s="108"/>
      <c r="C992" s="10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108"/>
      <c r="B993" s="108"/>
      <c r="C993" s="10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108"/>
      <c r="B994" s="108"/>
      <c r="C994" s="10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108"/>
      <c r="B995" s="108"/>
      <c r="C995" s="10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108"/>
      <c r="B996" s="108"/>
      <c r="C996" s="10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108"/>
      <c r="B997" s="108"/>
      <c r="C997" s="10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108"/>
      <c r="B998" s="108"/>
      <c r="C998" s="10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108"/>
      <c r="B999" s="108"/>
      <c r="C999" s="10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108"/>
      <c r="B1000" s="108"/>
      <c r="C1000" s="10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2017-08-04T09:46:30Z</dcterms:created>
  <dc:creator>坂口こよみ</dc:creator>
</cp:coreProperties>
</file>